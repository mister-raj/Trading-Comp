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acer\Downloads\"/>
    </mc:Choice>
  </mc:AlternateContent>
  <xr:revisionPtr revIDLastSave="0" documentId="13_ncr:1_{6A3D81A2-D45E-4956-96A9-B12451A76194}" xr6:coauthVersionLast="47" xr6:coauthVersionMax="47" xr10:uidLastSave="{00000000-0000-0000-0000-000000000000}"/>
  <bookViews>
    <workbookView xWindow="-108" yWindow="-108" windowWidth="23256" windowHeight="12456" xr2:uid="{7F462D15-BDFB-437F-852A-ECACE2383642}"/>
  </bookViews>
  <sheets>
    <sheet name="Trading Comp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2" i="1" l="1" a="1"/>
  <c r="G12" i="1" s="1"/>
  <c r="G13" i="1" a="1"/>
  <c r="G13" i="1" s="1"/>
  <c r="G14" i="1" a="1"/>
  <c r="G14" i="1" s="1"/>
  <c r="G15" i="1" a="1"/>
  <c r="G15" i="1" s="1"/>
  <c r="G16" i="1" a="1"/>
  <c r="G16" i="1" s="1"/>
  <c r="G17" i="1" a="1"/>
  <c r="G17" i="1" s="1"/>
  <c r="G18" i="1" a="1"/>
  <c r="G18" i="1" s="1"/>
  <c r="G19" i="1" a="1"/>
  <c r="G19" i="1" s="1"/>
  <c r="G20" i="1" a="1"/>
  <c r="G20" i="1" s="1"/>
  <c r="G21" i="1" a="1"/>
  <c r="G21" i="1" s="1"/>
  <c r="G11" i="1" a="1"/>
  <c r="G11" i="1" s="1"/>
  <c r="G9" i="1" a="1"/>
  <c r="G9" i="1" s="1"/>
  <c r="E12" i="1" a="1"/>
  <c r="E12" i="1" s="1"/>
  <c r="E13" i="1" a="1"/>
  <c r="E13" i="1" s="1"/>
  <c r="E14" i="1" a="1"/>
  <c r="E14" i="1" s="1"/>
  <c r="E15" i="1" a="1"/>
  <c r="E15" i="1" s="1"/>
  <c r="E16" i="1" a="1"/>
  <c r="E16" i="1" s="1"/>
  <c r="E17" i="1" a="1"/>
  <c r="E17" i="1" s="1"/>
  <c r="E18" i="1" a="1"/>
  <c r="E18" i="1" s="1"/>
  <c r="E19" i="1" a="1"/>
  <c r="E19" i="1" s="1"/>
  <c r="E20" i="1" a="1"/>
  <c r="E20" i="1" s="1"/>
  <c r="E21" i="1" a="1"/>
  <c r="E21" i="1" s="1"/>
  <c r="E11" i="1" a="1"/>
  <c r="E11" i="1" s="1"/>
  <c r="E9" i="1" a="1"/>
  <c r="E9" i="1" s="1"/>
  <c r="D12" i="1" a="1"/>
  <c r="D12" i="1" s="1"/>
  <c r="D13" i="1" a="1"/>
  <c r="D13" i="1" s="1"/>
  <c r="D14" i="1" a="1"/>
  <c r="D14" i="1" s="1"/>
  <c r="D15" i="1" a="1"/>
  <c r="D15" i="1" s="1"/>
  <c r="D16" i="1" a="1"/>
  <c r="D16" i="1" s="1"/>
  <c r="D17" i="1" a="1"/>
  <c r="D17" i="1" s="1"/>
  <c r="D18" i="1" a="1"/>
  <c r="D18" i="1" s="1"/>
  <c r="D19" i="1" a="1"/>
  <c r="D19" i="1" s="1"/>
  <c r="D20" i="1" a="1"/>
  <c r="D20" i="1" s="1"/>
  <c r="D21" i="1" a="1"/>
  <c r="D21" i="1" s="1"/>
  <c r="D11" i="1" a="1"/>
  <c r="D11" i="1" s="1"/>
  <c r="D9" i="1" a="1"/>
  <c r="D9" i="1" s="1"/>
  <c r="C12" i="1" a="1"/>
  <c r="C12" i="1" s="1"/>
  <c r="H12" i="1" s="1"/>
  <c r="C13" i="1" a="1"/>
  <c r="C13" i="1" s="1"/>
  <c r="H13" i="1" s="1"/>
  <c r="C14" i="1" a="1"/>
  <c r="C14" i="1" s="1"/>
  <c r="H14" i="1" s="1"/>
  <c r="C15" i="1" a="1"/>
  <c r="C15" i="1" s="1"/>
  <c r="H15" i="1" s="1"/>
  <c r="C16" i="1" a="1"/>
  <c r="C16" i="1" s="1"/>
  <c r="H16" i="1" s="1"/>
  <c r="C17" i="1" a="1"/>
  <c r="C17" i="1" s="1"/>
  <c r="H17" i="1" s="1"/>
  <c r="C18" i="1" a="1"/>
  <c r="C18" i="1" s="1"/>
  <c r="H18" i="1" s="1"/>
  <c r="C19" i="1" a="1"/>
  <c r="C19" i="1" s="1"/>
  <c r="H19" i="1" s="1"/>
  <c r="C20" i="1" a="1"/>
  <c r="C20" i="1" s="1"/>
  <c r="H20" i="1" s="1"/>
  <c r="C21" i="1" a="1"/>
  <c r="C21" i="1" s="1"/>
  <c r="H21" i="1" s="1"/>
  <c r="C11" i="1" a="1"/>
  <c r="C11" i="1" s="1"/>
  <c r="H11" i="1" s="1"/>
  <c r="C9" i="1" a="1"/>
  <c r="C9" i="1" s="1"/>
  <c r="H9" i="1" s="1"/>
  <c r="J7" i="1"/>
  <c r="Z7" i="1" s="1"/>
  <c r="E2" i="1"/>
  <c r="Q7" i="1" l="1"/>
  <c r="L7" i="1"/>
  <c r="N7" i="1" s="1"/>
  <c r="S7" i="1"/>
  <c r="U7" i="1" s="1"/>
  <c r="X7" i="1"/>
  <c r="AB7" i="1"/>
  <c r="K7" i="1"/>
  <c r="AC7" i="1" s="1"/>
  <c r="Q13" i="1"/>
  <c r="Q17" i="1"/>
  <c r="AA7" i="1" l="1"/>
  <c r="Y7" i="1"/>
  <c r="T7" i="1"/>
  <c r="V7" i="1" s="1"/>
  <c r="M7" i="1"/>
  <c r="O7" i="1" s="1"/>
  <c r="R7" i="1"/>
  <c r="Q16" i="1"/>
  <c r="X16" i="1"/>
  <c r="Q15" i="1"/>
  <c r="X15" i="1"/>
  <c r="Q11" i="1"/>
  <c r="X11" i="1"/>
  <c r="Q12" i="1"/>
  <c r="X12" i="1"/>
  <c r="R13" i="1"/>
  <c r="R17" i="1"/>
  <c r="Q9" i="1"/>
  <c r="X9" i="1"/>
  <c r="Q14" i="1"/>
  <c r="X14" i="1"/>
  <c r="Q18" i="1"/>
  <c r="X18" i="1"/>
  <c r="R14" i="1" l="1"/>
  <c r="Y14" i="1"/>
  <c r="R11" i="1"/>
  <c r="Y11" i="1"/>
  <c r="R12" i="1"/>
  <c r="Y12" i="1"/>
  <c r="Q23" i="1"/>
  <c r="Q24" i="1"/>
  <c r="X23" i="1"/>
  <c r="X24" i="1"/>
  <c r="R15" i="1"/>
  <c r="Y15" i="1"/>
  <c r="S13" i="1"/>
  <c r="S17" i="1"/>
  <c r="R9" i="1"/>
  <c r="H28" i="1"/>
  <c r="H29" i="1" s="1"/>
  <c r="H30" i="1" s="1"/>
  <c r="H31" i="1" s="1"/>
  <c r="Y9" i="1"/>
  <c r="R16" i="1"/>
  <c r="Y16" i="1"/>
  <c r="R18" i="1"/>
  <c r="Y18" i="1"/>
  <c r="S15" i="1" l="1"/>
  <c r="Z15" i="1"/>
  <c r="S14" i="1"/>
  <c r="Z14" i="1"/>
  <c r="D28" i="1"/>
  <c r="L28" i="1" s="1"/>
  <c r="T28" i="1" s="1"/>
  <c r="X28" i="1" s="1"/>
  <c r="Y23" i="1"/>
  <c r="D29" i="1" s="1"/>
  <c r="L29" i="1" s="1"/>
  <c r="T29" i="1" s="1"/>
  <c r="X29" i="1" s="1"/>
  <c r="Y24" i="1"/>
  <c r="D30" i="1" s="1"/>
  <c r="L30" i="1" s="1"/>
  <c r="T30" i="1" s="1"/>
  <c r="X30" i="1" s="1"/>
  <c r="D31" i="1"/>
  <c r="L31" i="1" s="1"/>
  <c r="T31" i="1" s="1"/>
  <c r="X31" i="1" s="1"/>
  <c r="S16" i="1"/>
  <c r="Z16" i="1"/>
  <c r="S11" i="1"/>
  <c r="Z11" i="1"/>
  <c r="T17" i="1"/>
  <c r="T13" i="1"/>
  <c r="S18" i="1"/>
  <c r="Z18" i="1"/>
  <c r="S12" i="1"/>
  <c r="Z12" i="1"/>
  <c r="R23" i="1"/>
  <c r="R24" i="1"/>
  <c r="S9" i="1"/>
  <c r="Z9" i="1"/>
  <c r="T15" i="1" l="1"/>
  <c r="AA15" i="1"/>
  <c r="T18" i="1"/>
  <c r="AA18" i="1"/>
  <c r="T16" i="1"/>
  <c r="AA16" i="1"/>
  <c r="T11" i="1"/>
  <c r="AA11" i="1"/>
  <c r="U17" i="1"/>
  <c r="U13" i="1"/>
  <c r="T14" i="1"/>
  <c r="AA14" i="1"/>
  <c r="Z23" i="1"/>
  <c r="Z24" i="1"/>
  <c r="T12" i="1"/>
  <c r="AA12" i="1"/>
  <c r="S24" i="1"/>
  <c r="S23" i="1"/>
  <c r="T9" i="1"/>
  <c r="I28" i="1"/>
  <c r="I29" i="1" s="1"/>
  <c r="I30" i="1" s="1"/>
  <c r="I31" i="1" s="1"/>
  <c r="AA9" i="1"/>
  <c r="V17" i="1" l="1"/>
  <c r="V13" i="1"/>
  <c r="U18" i="1"/>
  <c r="AB18" i="1"/>
  <c r="U12" i="1"/>
  <c r="AB12" i="1"/>
  <c r="T23" i="1"/>
  <c r="T24" i="1"/>
  <c r="U16" i="1"/>
  <c r="AB16" i="1"/>
  <c r="E31" i="1"/>
  <c r="M31" i="1" s="1"/>
  <c r="U31" i="1" s="1"/>
  <c r="Y31" i="1" s="1"/>
  <c r="AA23" i="1"/>
  <c r="E29" i="1" s="1"/>
  <c r="M29" i="1" s="1"/>
  <c r="U29" i="1" s="1"/>
  <c r="Y29" i="1" s="1"/>
  <c r="E28" i="1"/>
  <c r="M28" i="1" s="1"/>
  <c r="U28" i="1" s="1"/>
  <c r="Y28" i="1" s="1"/>
  <c r="AA24" i="1"/>
  <c r="E30" i="1" s="1"/>
  <c r="M30" i="1" s="1"/>
  <c r="U30" i="1" s="1"/>
  <c r="Y30" i="1" s="1"/>
  <c r="U9" i="1"/>
  <c r="AB9" i="1"/>
  <c r="U15" i="1"/>
  <c r="AB15" i="1"/>
  <c r="U11" i="1"/>
  <c r="AB11" i="1"/>
  <c r="U14" i="1"/>
  <c r="AB14" i="1"/>
  <c r="V9" i="1" l="1"/>
  <c r="AC9" i="1"/>
  <c r="V15" i="1"/>
  <c r="AC15" i="1"/>
  <c r="V16" i="1"/>
  <c r="AC16" i="1"/>
  <c r="AB23" i="1"/>
  <c r="AB24" i="1"/>
  <c r="U24" i="1"/>
  <c r="U23" i="1"/>
  <c r="V14" i="1"/>
  <c r="AC14" i="1"/>
  <c r="V18" i="1"/>
  <c r="AC18" i="1"/>
  <c r="V12" i="1"/>
  <c r="AC12" i="1"/>
  <c r="V11" i="1"/>
  <c r="AC11" i="1"/>
  <c r="F31" i="1" l="1"/>
  <c r="V31" i="1" s="1"/>
  <c r="Z31" i="1" s="1"/>
  <c r="AC23" i="1"/>
  <c r="F29" i="1" s="1"/>
  <c r="V29" i="1" s="1"/>
  <c r="Z29" i="1" s="1"/>
  <c r="F28" i="1"/>
  <c r="V28" i="1" s="1"/>
  <c r="Z28" i="1" s="1"/>
  <c r="AC24" i="1"/>
  <c r="F30" i="1" s="1"/>
  <c r="V30" i="1" s="1"/>
  <c r="Z30" i="1" s="1"/>
  <c r="V24" i="1"/>
  <c r="V23"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futureMetadata>
  <cellMetadata count="1">
    <bk>
      <rc t="1" v="0"/>
    </bk>
  </cellMetadata>
  <valueMetadata count="12">
    <bk>
      <rc t="2" v="0"/>
    </bk>
    <bk>
      <rc t="2" v="1"/>
    </bk>
    <bk>
      <rc t="2" v="2"/>
    </bk>
    <bk>
      <rc t="2" v="3"/>
    </bk>
    <bk>
      <rc t="2" v="4"/>
    </bk>
    <bk>
      <rc t="2" v="5"/>
    </bk>
    <bk>
      <rc t="2" v="6"/>
    </bk>
    <bk>
      <rc t="2" v="7"/>
    </bk>
    <bk>
      <rc t="2" v="8"/>
    </bk>
    <bk>
      <rc t="2" v="9"/>
    </bk>
    <bk>
      <rc t="2" v="10"/>
    </bk>
    <bk>
      <rc t="2" v="11"/>
    </bk>
  </valueMetadata>
</metadata>
</file>

<file path=xl/sharedStrings.xml><?xml version="1.0" encoding="utf-8"?>
<sst xmlns="http://schemas.openxmlformats.org/spreadsheetml/2006/main" count="62" uniqueCount="42">
  <si>
    <t>Date</t>
  </si>
  <si>
    <t>Trading Multiples</t>
  </si>
  <si>
    <t>Current</t>
  </si>
  <si>
    <t>Share</t>
  </si>
  <si>
    <t>Enterprise</t>
  </si>
  <si>
    <t>Market</t>
  </si>
  <si>
    <t>Revenue</t>
  </si>
  <si>
    <t>EBITDA</t>
  </si>
  <si>
    <t>Net Income</t>
  </si>
  <si>
    <t>Revenue Growth</t>
  </si>
  <si>
    <t>EBITDA Margin</t>
  </si>
  <si>
    <t>Profit Margin</t>
  </si>
  <si>
    <t>EV / Revenue</t>
  </si>
  <si>
    <t>EV / EBITDA</t>
  </si>
  <si>
    <t>P / E</t>
  </si>
  <si>
    <t>Ticker</t>
  </si>
  <si>
    <t>Company Name</t>
  </si>
  <si>
    <t>Price</t>
  </si>
  <si>
    <t>Count</t>
  </si>
  <si>
    <t>Value</t>
  </si>
  <si>
    <t>Cap</t>
  </si>
  <si>
    <t>Mean</t>
  </si>
  <si>
    <t>Median</t>
  </si>
  <si>
    <t>2023 Trading Multiple</t>
  </si>
  <si>
    <t>2023 Financial Metric</t>
  </si>
  <si>
    <t>Enterprise Value</t>
  </si>
  <si>
    <t>Equity Value</t>
  </si>
  <si>
    <t>Implied Share Price</t>
  </si>
  <si>
    <t>Calculating Implied Share Price</t>
  </si>
  <si>
    <t>P/E</t>
  </si>
  <si>
    <t>EPS</t>
  </si>
  <si>
    <t>Cash</t>
  </si>
  <si>
    <t>Debt</t>
  </si>
  <si>
    <t>Shares</t>
  </si>
  <si>
    <t>Minimum</t>
  </si>
  <si>
    <t>--</t>
  </si>
  <si>
    <t>Maximum</t>
  </si>
  <si>
    <t>Trading Comparables</t>
  </si>
  <si>
    <t>WEBSITE</t>
  </si>
  <si>
    <t>Cr.</t>
  </si>
  <si>
    <t>TICKER</t>
  </si>
  <si>
    <t>https://www.nseindia.com/static/market-data/securities-available-for-trading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</si>
</sst>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x"/>
    <numFmt numFmtId="166" formatCode="_([$$-409]* #,##0.00_);_([$$-409]* \(#,##0.00\);_([$$-409]* &quot;-&quot;??_);_(@_)"/>
    <numFmt numFmtId="167" formatCode="_ [$₹-4009]\ * #,##0.00_ ;_ [$₹-4009]\ * \-#,##0.00_ ;_ [$₹-4009]\ * &quot;-&quot;??_ ;_ @_ "/>
  </numFmts>
  <fonts count="12" x14ac:knownFonts="1">
    <font>
      <sz val="11"/>
      <color theme="1"/>
      <name val="Calibri"/>
      <family val="2"/>
      <scheme val="minor"/>
    </font>
    <font>
      <sz val="11"/>
      <color theme="1"/>
      <name val="Calibri"/>
      <family val="2"/>
      <scheme val="minor"/>
    </font>
    <font>
      <b/>
      <sz val="16"/>
      <color theme="1"/>
      <name val="Calibri"/>
      <family val="2"/>
      <scheme val="minor"/>
    </font>
    <font>
      <b/>
      <sz val="12"/>
      <color rgb="FFC00000"/>
      <name val="Calibri"/>
      <family val="2"/>
      <scheme val="minor"/>
    </font>
    <font>
      <b/>
      <sz val="12"/>
      <color theme="1"/>
      <name val="Calibri"/>
      <family val="2"/>
      <scheme val="minor"/>
    </font>
    <font>
      <b/>
      <u val="singleAccounting"/>
      <sz val="12"/>
      <color theme="1"/>
      <name val="Calibri"/>
      <family val="2"/>
      <scheme val="minor"/>
    </font>
    <font>
      <sz val="12"/>
      <color theme="4"/>
      <name val="Calibri"/>
      <family val="2"/>
      <scheme val="minor"/>
    </font>
    <font>
      <u/>
      <sz val="11"/>
      <color theme="10"/>
      <name val="Calibri"/>
      <family val="2"/>
      <scheme val="minor"/>
    </font>
    <font>
      <i/>
      <sz val="11"/>
      <color theme="1"/>
      <name val="Calibri"/>
      <family val="2"/>
      <scheme val="minor"/>
    </font>
    <font>
      <sz val="11"/>
      <color theme="4"/>
      <name val="Calibri"/>
      <family val="2"/>
      <scheme val="minor"/>
    </font>
    <font>
      <u/>
      <sz val="11"/>
      <color theme="9"/>
      <name val="Calibri"/>
      <family val="2"/>
      <scheme val="minor"/>
    </font>
    <font>
      <sz val="11"/>
      <color theme="9"/>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9" tint="0.79998168889431442"/>
        <bgColor indexed="64"/>
      </patternFill>
    </fill>
  </fills>
  <borders count="9">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style="hair">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58">
    <xf numFmtId="0" fontId="0" fillId="0" borderId="0" xfId="0"/>
    <xf numFmtId="0" fontId="2" fillId="0" borderId="1" xfId="0" applyFont="1" applyBorder="1"/>
    <xf numFmtId="0" fontId="0" fillId="0" borderId="1" xfId="0" applyBorder="1"/>
    <xf numFmtId="0" fontId="3" fillId="0" borderId="1" xfId="0" applyFont="1" applyBorder="1" applyAlignment="1">
      <alignment horizontal="center"/>
    </xf>
    <xf numFmtId="0" fontId="4" fillId="3" borderId="0" xfId="0" applyFont="1" applyFill="1" applyAlignment="1">
      <alignment vertical="center"/>
    </xf>
    <xf numFmtId="0" fontId="0" fillId="3" borderId="0" xfId="0" applyFill="1" applyAlignment="1">
      <alignment horizontal="right" vertical="center"/>
    </xf>
    <xf numFmtId="0" fontId="4" fillId="3" borderId="0" xfId="0" applyFont="1" applyFill="1" applyAlignment="1">
      <alignment horizontal="center" vertical="center"/>
    </xf>
    <xf numFmtId="0" fontId="5" fillId="3" borderId="0" xfId="0" applyFont="1" applyFill="1" applyAlignment="1">
      <alignment horizontal="centerContinuous" vertical="center"/>
    </xf>
    <xf numFmtId="0" fontId="4" fillId="3" borderId="1" xfId="0" applyFont="1" applyFill="1" applyBorder="1" applyAlignment="1">
      <alignment vertical="center"/>
    </xf>
    <xf numFmtId="0" fontId="4" fillId="3" borderId="1" xfId="0" applyFont="1" applyFill="1" applyBorder="1" applyAlignment="1">
      <alignment horizontal="center" vertical="center"/>
    </xf>
    <xf numFmtId="0" fontId="4" fillId="3" borderId="1" xfId="0" quotePrefix="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quotePrefix="1" applyFont="1" applyAlignment="1">
      <alignment horizontal="center" vertical="center"/>
    </xf>
    <xf numFmtId="0" fontId="0" fillId="0" borderId="2" xfId="0" applyBorder="1"/>
    <xf numFmtId="3" fontId="0" fillId="0" borderId="2" xfId="0" applyNumberFormat="1" applyBorder="1" applyAlignment="1">
      <alignment horizontal="center" vertical="center"/>
    </xf>
    <xf numFmtId="164" fontId="0" fillId="0" borderId="2" xfId="1" applyNumberFormat="1" applyFont="1" applyBorder="1" applyAlignment="1">
      <alignment horizontal="center"/>
    </xf>
    <xf numFmtId="165" fontId="0" fillId="0" borderId="2" xfId="0" applyNumberFormat="1" applyBorder="1" applyAlignment="1">
      <alignment horizontal="center"/>
    </xf>
    <xf numFmtId="0" fontId="6" fillId="0" borderId="0" xfId="0" applyFont="1"/>
    <xf numFmtId="0" fontId="0" fillId="0" borderId="0" xfId="0" applyAlignment="1">
      <alignment horizontal="center"/>
    </xf>
    <xf numFmtId="3" fontId="0" fillId="0" borderId="0" xfId="0" applyNumberFormat="1" applyAlignment="1">
      <alignment horizontal="center" vertical="center"/>
    </xf>
    <xf numFmtId="164" fontId="0" fillId="0" borderId="0" xfId="1" applyNumberFormat="1" applyFont="1" applyBorder="1" applyAlignment="1">
      <alignment horizontal="center"/>
    </xf>
    <xf numFmtId="165" fontId="0" fillId="0" borderId="0" xfId="0" applyNumberFormat="1" applyAlignment="1">
      <alignment horizontal="center"/>
    </xf>
    <xf numFmtId="164" fontId="0" fillId="0" borderId="0" xfId="1" applyNumberFormat="1" applyFont="1" applyAlignment="1">
      <alignment horizontal="center"/>
    </xf>
    <xf numFmtId="0" fontId="4" fillId="4" borderId="3" xfId="0" applyFont="1" applyFill="1" applyBorder="1"/>
    <xf numFmtId="0" fontId="0" fillId="4" borderId="4" xfId="0" applyFill="1" applyBorder="1"/>
    <xf numFmtId="164" fontId="4" fillId="4" borderId="4" xfId="0" applyNumberFormat="1" applyFont="1" applyFill="1" applyBorder="1" applyAlignment="1">
      <alignment horizontal="center"/>
    </xf>
    <xf numFmtId="165" fontId="4" fillId="4" borderId="4" xfId="0" applyNumberFormat="1" applyFont="1" applyFill="1" applyBorder="1" applyAlignment="1">
      <alignment horizontal="center"/>
    </xf>
    <xf numFmtId="165" fontId="4" fillId="4" borderId="5" xfId="0" applyNumberFormat="1" applyFont="1" applyFill="1" applyBorder="1" applyAlignment="1">
      <alignment horizontal="center"/>
    </xf>
    <xf numFmtId="0" fontId="4" fillId="4" borderId="6" xfId="0" applyFont="1" applyFill="1" applyBorder="1"/>
    <xf numFmtId="0" fontId="0" fillId="4" borderId="1" xfId="0" applyFill="1" applyBorder="1"/>
    <xf numFmtId="164"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165" fontId="4" fillId="4" borderId="7" xfId="0" applyNumberFormat="1" applyFont="1" applyFill="1" applyBorder="1" applyAlignment="1">
      <alignment horizontal="center"/>
    </xf>
    <xf numFmtId="165" fontId="0" fillId="0" borderId="0" xfId="0" applyNumberFormat="1" applyAlignment="1">
      <alignment horizontal="center" vertical="center"/>
    </xf>
    <xf numFmtId="4" fontId="6" fillId="0" borderId="0" xfId="0" applyNumberFormat="1" applyFont="1" applyAlignment="1">
      <alignment horizontal="center" vertical="center"/>
    </xf>
    <xf numFmtId="3" fontId="6" fillId="0" borderId="0" xfId="0" applyNumberFormat="1" applyFont="1" applyAlignment="1">
      <alignment horizontal="center" vertical="center"/>
    </xf>
    <xf numFmtId="1" fontId="6" fillId="0" borderId="0" xfId="0" quotePrefix="1" applyNumberFormat="1" applyFont="1" applyAlignment="1">
      <alignment horizontal="center" vertical="center"/>
    </xf>
    <xf numFmtId="3" fontId="0" fillId="0" borderId="0" xfId="0" applyNumberFormat="1"/>
    <xf numFmtId="3" fontId="0" fillId="0" borderId="0" xfId="0" quotePrefix="1" applyNumberFormat="1" applyAlignment="1">
      <alignment horizontal="center" vertical="center"/>
    </xf>
    <xf numFmtId="166" fontId="0" fillId="0" borderId="0" xfId="0" quotePrefix="1" applyNumberFormat="1" applyAlignment="1">
      <alignment vertical="center"/>
    </xf>
    <xf numFmtId="3" fontId="0" fillId="0" borderId="0" xfId="0" applyNumberFormat="1" applyAlignment="1">
      <alignment horizontal="center"/>
    </xf>
    <xf numFmtId="1" fontId="0" fillId="0" borderId="0" xfId="0" quotePrefix="1" applyNumberFormat="1" applyAlignment="1">
      <alignment horizontal="center" vertical="center"/>
    </xf>
    <xf numFmtId="0" fontId="4" fillId="0" borderId="1" xfId="0" applyFont="1" applyBorder="1"/>
    <xf numFmtId="14" fontId="0" fillId="2" borderId="8" xfId="0" applyNumberFormat="1" applyFill="1" applyBorder="1" applyAlignment="1">
      <alignment horizontal="center" vertical="center"/>
    </xf>
    <xf numFmtId="0" fontId="0" fillId="0" borderId="0" xfId="0" applyAlignment="1">
      <alignment vertical="center" wrapText="1"/>
    </xf>
    <xf numFmtId="0" fontId="8" fillId="0" borderId="0" xfId="0" applyFont="1" applyAlignment="1">
      <alignment horizontal="center"/>
    </xf>
    <xf numFmtId="4" fontId="0" fillId="0" borderId="2" xfId="0" applyNumberFormat="1" applyBorder="1" applyAlignment="1">
      <alignment horizontal="center" vertical="center"/>
    </xf>
    <xf numFmtId="14" fontId="7" fillId="2" borderId="8" xfId="2" applyNumberFormat="1" applyFill="1" applyBorder="1" applyAlignment="1">
      <alignment horizontal="center" vertical="center"/>
    </xf>
    <xf numFmtId="167" fontId="0" fillId="0" borderId="2" xfId="0" applyNumberFormat="1" applyBorder="1" applyAlignment="1">
      <alignment horizontal="center"/>
    </xf>
    <xf numFmtId="167" fontId="0" fillId="0" borderId="0" xfId="0" applyNumberFormat="1" applyAlignment="1">
      <alignment horizontal="center"/>
    </xf>
    <xf numFmtId="4" fontId="0" fillId="0" borderId="0" xfId="0" applyNumberFormat="1" applyAlignment="1">
      <alignment horizontal="center" vertical="center"/>
    </xf>
    <xf numFmtId="3" fontId="9" fillId="0" borderId="2" xfId="0" applyNumberFormat="1" applyFont="1" applyBorder="1" applyAlignment="1">
      <alignment horizontal="center" vertical="center"/>
    </xf>
    <xf numFmtId="3" fontId="9" fillId="0" borderId="0" xfId="0" applyNumberFormat="1" applyFont="1" applyAlignment="1">
      <alignment horizontal="center" vertical="center"/>
    </xf>
    <xf numFmtId="164" fontId="10" fillId="0" borderId="2" xfId="2" applyNumberFormat="1" applyFont="1" applyBorder="1" applyAlignment="1">
      <alignment horizontal="center"/>
    </xf>
    <xf numFmtId="164" fontId="11" fillId="0" borderId="0" xfId="1" applyNumberFormat="1" applyFont="1" applyBorder="1" applyAlignment="1">
      <alignment horizontal="center"/>
    </xf>
    <xf numFmtId="164" fontId="10" fillId="0" borderId="0" xfId="2" applyNumberFormat="1" applyFont="1" applyBorder="1" applyAlignment="1">
      <alignment horizontal="center"/>
    </xf>
    <xf numFmtId="0" fontId="7" fillId="0" borderId="0" xfId="2"/>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ustomXml" Target="../customXml/item1.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3">
  <rv s="0">
    <v>https://www.bing.com/financeapi/forcetrigger?t=ahju6h&amp;q=XNSE%3aSBIN&amp;form=skydnc</v>
    <v>Learn more on Bing</v>
  </rv>
  <rv s="1">
    <v>en-IN</v>
    <v>ahju6h</v>
    <v>268435456</v>
    <v>1</v>
    <v>Powered by Refinitiv</v>
    <v>0</v>
    <v>State Bank of India (XNSE:SBIN)</v>
    <v>2</v>
    <v>3</v>
    <v>Finance</v>
    <v>4</v>
    <v>1082.5</v>
    <v>680</v>
    <v>1.2209000000000001</v>
    <v>10.95</v>
    <v>1.027E-2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Corporate Centre,14th Floor, State Bank Bhavan, Madame Cama Marg, MUMBAI, MAHARASHTRA, 400021 IN</v>
    <v>1082.5</v>
    <v>Banking Services</v>
    <v>Stock</v>
    <v>46052.495925925927</v>
    <v>0</v>
    <v>1060.4000000000001</v>
    <v>9493229000000</v>
    <v>State Bank of India</v>
    <v>State Bank of India</v>
    <v>1064</v>
    <v>11.89</v>
    <v>1066.2</v>
    <v>1077.1500000000001</v>
    <v>9230617000</v>
    <v>SBIN</v>
    <v>State Bank of India (XNSE:SBIN)</v>
    <v>9480769</v>
    <v>10450890</v>
  </rv>
  <rv s="2">
    <v>1</v>
  </rv>
  <rv s="0">
    <v>https://www.bing.com/financeapi/forcetrigger?t=ahi3jc&amp;q=XNSE%3aHDFCBANK&amp;form=skydnc</v>
    <v>Learn more on Bing</v>
  </rv>
  <rv s="3">
    <v>en-IN</v>
    <v>ahi3jc</v>
    <v>268435456</v>
    <v>1</v>
    <v>Powered by Refinitiv</v>
    <v>5</v>
    <v>HDFC BANK LIMITED (XNSE:HDFCBANK)</v>
    <v>2</v>
    <v>6</v>
    <v>Finance</v>
    <v>4</v>
    <v>1020.5</v>
    <v>810.98</v>
    <v>0.96819999999999995</v>
    <v>-6.25</v>
    <v>-6.6810000000000003E-3</v>
    <v>INR</v>
    <v>HDFC Bank Limited (the Bank) is a private bank. The Bank, together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938.9</v>
    <v>Banking Services</v>
    <v>Stock</v>
    <v>46052.478518518517</v>
    <v>3</v>
    <v>927.75</v>
    <v>14420670000000</v>
    <v>HDFC BANK LIMITED</v>
    <v>HDFC BANK LIMITED</v>
    <v>930</v>
    <v>19.125699999999998</v>
    <v>935.5</v>
    <v>929.25</v>
    <v>15386800000</v>
    <v>HDFCBANK</v>
    <v>HDFC BANK LIMITED (XNSE:HDFCBANK)</v>
    <v>29691233</v>
    <v>37415590</v>
    <v>1994</v>
  </rv>
  <rv s="2">
    <v>4</v>
  </rv>
  <rv s="0">
    <v>http://en.wikipedia.org/wiki/Public_domain</v>
    <v>Public domain</v>
  </rv>
  <rv s="0">
    <v>http://zh.wikipedia.org/wiki/ICICI银行</v>
    <v>Wikipedia</v>
  </rv>
  <rv s="4">
    <v>6</v>
    <v>7</v>
  </rv>
  <rv s="5">
    <v>11</v>
    <v>https://www.bing.com/th?id=AMMS_7a55564cbcf9b185c2bd50f7f3a85b23&amp;qlt=95</v>
    <v>8</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1193.0999999999999</v>
    <v>0.96389999999999998</v>
    <v>-28.6</v>
    <v>-2.0670999999999998E-2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1381.9</v>
    <v>9</v>
    <v>Banking Services</v>
    <v>Stock</v>
    <v>46052.478518518517</v>
    <v>10</v>
    <v>1353.2</v>
    <v>10272960000000</v>
    <v>ICICI BANK LIMITED</v>
    <v>ICICI BANK LIMITED</v>
    <v>1368.2</v>
    <v>18.2163</v>
    <v>1383.6</v>
    <v>1355</v>
    <v>7153235000</v>
    <v>ICICIBANK</v>
    <v>ICICI BANK LIMITED (XNSE:ICICIBANK)</v>
    <v>24013717</v>
    <v>17930570</v>
    <v>1994</v>
  </rv>
  <rv s="2">
    <v>11</v>
  </rv>
  <rv s="0">
    <v>https://www.bing.com/financeapi/forcetrigger?t=ahh2gh&amp;q=XNSE%3aAXISBANK&amp;form=skydnc</v>
    <v>Learn more on Bing</v>
  </rv>
  <rv s="3">
    <v>en-IN</v>
    <v>ahh2gh</v>
    <v>268435456</v>
    <v>1</v>
    <v>Powered by Refinitiv</v>
    <v>5</v>
    <v>AXIS BANK LIMITED (XNSE:AXISBANK)</v>
    <v>2</v>
    <v>6</v>
    <v>Finance</v>
    <v>4</v>
    <v>1378.7</v>
    <v>933.5</v>
    <v>1.1425000000000001</v>
    <v>6.7</v>
    <v>4.9129999999999998E-3</v>
    <v>INR</v>
    <v>Axis Bank Limited (the Bank) is a private sector bank. The Bank’s segments include Treasury, Retail Banking, Corporate/Wholesale Banking and Other Banking Business. Treasury operations include investments in sovereign and corporate debt, equity and mutual funds, trading operations, derivative trading and foreign exchange operations on the proprietary account and for customers. Retail Banking constitutes lending activities, along with liability products, card services, Internet banking, mobile banking, automated teller machine (ATM) services, depository, financial advisory services and non-resident Indian (NRI) services. Corporate/Wholesale Banking includes corporate relationships, advisory services, placements and syndication, project appraisals, capital market related services and cash management services. The other Banking Business includes para banking activities like third party product distribution and other banking transactions not covered under any of the above three segments.</v>
    <v>104453</v>
    <v>National Stock Exchange of India</v>
    <v>XNSE</v>
    <v>XNSE</v>
    <v>Axis House, C-2 Wadia International Centre, Pandurang Budhkar Marg, Worli, MUMBAI, MAHARASHTRA, 400025 IN</v>
    <v>1378.7</v>
    <v>Banking Services</v>
    <v>Stock</v>
    <v>46052.478506944448</v>
    <v>13</v>
    <v>1352</v>
    <v>3918788000000</v>
    <v>AXIS BANK LIMITED</v>
    <v>AXIS BANK LIMITED</v>
    <v>1352</v>
    <v>16.100000000000001</v>
    <v>1363.7</v>
    <v>1370.4</v>
    <v>3105459000</v>
    <v>AXISBANK</v>
    <v>AXIS BANK LIMITED (XNSE:AXISBANK)</v>
    <v>14758482</v>
    <v>10099330</v>
    <v>1993</v>
  </rv>
  <rv s="2">
    <v>14</v>
  </rv>
  <rv s="0">
    <v>https://www.bing.com/financeapi/forcetrigger?t=ahinjc&amp;q=XNSE%3aKOTAKBANK&amp;form=skydnc</v>
    <v>Learn more on Bing</v>
  </rv>
  <rv s="3">
    <v>en-IN</v>
    <v>ahinjc</v>
    <v>268435456</v>
    <v>1</v>
    <v>Powered by Refinitiv</v>
    <v>5</v>
    <v>KOTAK MAHINDRA BANK LIMITED (XNSE:KOTAKBANK)</v>
    <v>2</v>
    <v>6</v>
    <v>Finance</v>
    <v>4</v>
    <v>460.38</v>
    <v>372.55</v>
    <v>0.88080000000000003</v>
    <v>-4.4000000000000004</v>
    <v>-1.0669E-2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412.5</v>
    <v>Banking Services</v>
    <v>Stock</v>
    <v>46052.478518518517</v>
    <v>16</v>
    <v>405.4</v>
    <v>4241952000000</v>
    <v>KOTAK MAHINDRA BANK LIMITED</v>
    <v>KOTAK MAHINDRA BANK LIMITED</v>
    <v>410</v>
    <v>21.5823</v>
    <v>412.4</v>
    <v>408</v>
    <v>10946460000</v>
    <v>KOTAKBANK</v>
    <v>KOTAK MAHINDRA BANK LIMITED (XNSE:KOTAKBANK)</v>
    <v>20681886</v>
    <v>19539120</v>
    <v>1985</v>
  </rv>
  <rv s="2">
    <v>17</v>
  </rv>
  <rv s="0">
    <v>https://www.bing.com/financeapi/forcetrigger?t=ahibur&amp;q=XNSE%3aINDUSINDBK&amp;form=skydnc</v>
    <v>Learn more on Bing</v>
  </rv>
  <rv s="3">
    <v>en-IN</v>
    <v>ahibur</v>
    <v>268435456</v>
    <v>1</v>
    <v>Powered by Refinitiv</v>
    <v>5</v>
    <v>INDUSIND BANK LTD. (XNSE:INDUSINDBK)</v>
    <v>2</v>
    <v>6</v>
    <v>Finance</v>
    <v>4</v>
    <v>1086.55</v>
    <v>606</v>
    <v>1.2841</v>
    <v>-2.2999999999999998</v>
    <v>-2.5600000000000002E-3</v>
    <v>INR</v>
    <v>IndusInd Bank Limited (the Bank) is engaged in providing financial services. The Bank offers a wide range of products and services for individuals and corporates, including microfinance, personal loans, personal and commercial vehicle loans, credit cards and small to medium enterprise (SME) loans. The Bank's segments include Treasury, Corporate/ Wholesale Banking, Retail Banking, and Other Banking Operation. The Treasury segment includes all investment portfolios, profit/ loss on sale of investments, profit/ loss on foreign exchange transactions, equities, income from derivatives and money market operations. The Corporate/ Wholesale Banking segment includes lending to and deposits from corporate customers and identified earnings and expenses of the segment. The Retail Banking segment includes lending to and deposits from retail customers and identifies earnings and expenses of the segment. The Retail Banking segment is sub-divided into Digital Banking and Other Retail Banking segment.</v>
    <v>44974</v>
    <v>National Stock Exchange of India</v>
    <v>XNSE</v>
    <v>XNSE</v>
    <v>8th floor, Tower 1, One World Center, Senapati Bapat Marg, Elphinstone Road (W), MUMBAI, MAHARASHTRA, 400013 IN</v>
    <v>902.75</v>
    <v>Banking Services</v>
    <v>Stock</v>
    <v>46052.478518518517</v>
    <v>19</v>
    <v>888.2</v>
    <v>709387600000</v>
    <v>INDUSIND BANK LTD.</v>
    <v>INDUSIND BANK LTD.</v>
    <v>892.1</v>
    <v>0</v>
    <v>898.4</v>
    <v>896.1</v>
    <v>779076000</v>
    <v>INDUSINDBK</v>
    <v>INDUSIND BANK LTD. (XNSE:INDUSINDBK)</v>
    <v>2867342</v>
    <v>6165850</v>
    <v>1994</v>
  </rv>
  <rv s="2">
    <v>20</v>
  </rv>
  <rv s="0">
    <v>https://www.bing.com/financeapi/forcetrigger?t=ahh4nm&amp;q=XNSE%3aBANKBARODA&amp;form=skydnc</v>
    <v>Learn more on Bing</v>
  </rv>
  <rv s="3">
    <v>en-IN</v>
    <v>ahh4nm</v>
    <v>268435456</v>
    <v>1</v>
    <v>Powered by Refinitiv</v>
    <v>5</v>
    <v>THE BANK OF BARODA LIMITED (XNSE:BANKBARODA)</v>
    <v>2</v>
    <v>6</v>
    <v>Finance</v>
    <v>4</v>
    <v>313.35000000000002</v>
    <v>190.7</v>
    <v>1.3509</v>
    <v>-3.05</v>
    <v>-1.0083999999999999E-2</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Baroda Corporate Centre, Plot No. C-26, Block G, Bandra Kurla Complex, Bandra (East), MUMBAI, MAHARASHTRA, 400051 IN</v>
    <v>304</v>
    <v>Banking Services</v>
    <v>Stock</v>
    <v>46052.478506944448</v>
    <v>22</v>
    <v>297.5</v>
    <v>1560976000000</v>
    <v>THE BANK OF BARODA LIMITED</v>
    <v>THE BANK OF BARODA LIMITED</v>
    <v>302.39999999999998</v>
    <v>7.9522000000000004</v>
    <v>302.45</v>
    <v>299.39999999999998</v>
    <v>5171362000</v>
    <v>BANKBARODA</v>
    <v>THE BANK OF BARODA LIMITED (XNSE:BANKBARODA)</v>
    <v>11708481</v>
    <v>10649880</v>
    <v>1911</v>
  </rv>
  <rv s="2">
    <v>23</v>
  </rv>
  <rv s="0">
    <v>https://www.bing.com/financeapi/forcetrigger?t=ahjg7w&amp;q=XNSE%3aPNB&amp;form=skydnc</v>
    <v>Learn more on Bing</v>
  </rv>
  <rv s="3">
    <v>en-IN</v>
    <v>ahjg7w</v>
    <v>268435456</v>
    <v>1</v>
    <v>Powered by Refinitiv</v>
    <v>5</v>
    <v>Punjab National Bank (XNSE:PNB)</v>
    <v>2</v>
    <v>6</v>
    <v>Finance</v>
    <v>4</v>
    <v>135.15</v>
    <v>85.46</v>
    <v>1.5041</v>
    <v>-0.06</v>
    <v>-4.7899999999999999E-4</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Plot No 4, Sector -10, Dwarka, NEW DELHI, DELHI, 110075 IN</v>
    <v>126.03</v>
    <v>Banking Services</v>
    <v>Stock</v>
    <v>46052.478530092594</v>
    <v>25</v>
    <v>123.26</v>
    <v>1431101000000</v>
    <v>Punjab National Bank</v>
    <v>Punjab National Bank</v>
    <v>124.5</v>
    <v>8.0921000000000003</v>
    <v>125.25</v>
    <v>125.19</v>
    <v>11492940000</v>
    <v>PNB</v>
    <v>Punjab National Bank (XNSE:PNB)</v>
    <v>14202987</v>
    <v>31479280</v>
    <v>1894</v>
  </rv>
  <rv s="2">
    <v>26</v>
  </rv>
  <rv s="0">
    <v>http://en.wikipedia.org/wiki/Canara_Bank</v>
    <v>Wikipedia</v>
  </rv>
  <rv s="4">
    <v>6</v>
    <v>28</v>
  </rv>
  <rv s="5">
    <v>11</v>
    <v>https://www.bing.com/th?id=AMMS_c85087fd4a4a5af8fc014bd99fcebd02&amp;qlt=95</v>
    <v>29</v>
    <v>0</v>
    <v>https://www.bing.com/images/search?form=xlimg&amp;q=canara+bank</v>
    <v>Image of THE CANARA BANK LIMITED</v>
  </rv>
  <rv s="0">
    <v>https://www.bing.com/financeapi/forcetrigger?t=ahhb77&amp;q=XNSE%3aCANBK&amp;form=skydnc</v>
    <v>Learn more on Bing</v>
  </rv>
  <rv s="6">
    <v>en-IN</v>
    <v>ahhb77</v>
    <v>268435456</v>
    <v>1</v>
    <v>Powered by Refinitiv</v>
    <v>7</v>
    <v>THE CANARA BANK LIMITED (XNSE:CANBK)</v>
    <v>9</v>
    <v>10</v>
    <v>Finance</v>
    <v>4</v>
    <v>160.79</v>
    <v>78.599999999999994</v>
    <v>1.6761999999999999</v>
    <v>-2.9</v>
    <v>-1.9292E-2</v>
    <v>INR</v>
    <v>The 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Its products and services include personal banking and corporate banking. Its personal banking includes depository services, mutual funds, technology products, retail loan products, micro, small and medium enterprise loan products and card services. Its corporate banking includes accounts and deposits, supply chain finance management, syndication services and technology upgradation fund schemes, among others. It also offers the depository services. It offers unbanked rural people with basic savings deposit accounts, PMJDY Overdraft Facilities and credit facilities under products, such as differential rate of interest scheme, Kisan Credit Card Scheme and various other credit products.</v>
    <v>81260</v>
    <v>National Stock Exchange of India</v>
    <v>XNSE</v>
    <v>XNSE</v>
    <v>Head Office No.112, J C Road, BANGALORE, KARNATAKA, 560002 IN</v>
    <v>150.69999999999999</v>
    <v>30</v>
    <v>Banking Services</v>
    <v>Stock</v>
    <v>46052.478506944448</v>
    <v>31</v>
    <v>146.62</v>
    <v>1368399000000</v>
    <v>THE CANARA BANK LIMITED</v>
    <v>THE CANARA BANK LIMITED</v>
    <v>150.69999999999999</v>
    <v>6.75</v>
    <v>150.32</v>
    <v>147.41999999999999</v>
    <v>9070651000</v>
    <v>CANBK</v>
    <v>THE CANARA BANK LIMITED (XNSE:CANBK)</v>
    <v>43411151</v>
    <v>32666220</v>
    <v>1906</v>
  </rv>
  <rv s="2">
    <v>32</v>
  </rv>
  <rv s="0">
    <v>https://www.bing.com/financeapi/forcetrigger?t=ahkhjc&amp;q=XNSE%3aUNIONBANK&amp;form=skydnc</v>
    <v>Learn more on Bing</v>
  </rv>
  <rv s="3">
    <v>en-IN</v>
    <v>ahkhjc</v>
    <v>268435456</v>
    <v>1</v>
    <v>Powered by Refinitiv</v>
    <v>5</v>
    <v>UNION BANK OF INDIA LIMITED (XNSE:UNIONBANK)</v>
    <v>2</v>
    <v>6</v>
    <v>Finance</v>
    <v>4</v>
    <v>183.34</v>
    <v>104.47</v>
    <v>1.1767000000000001</v>
    <v>1.32</v>
    <v>7.3560000000000006E-3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Bhavan, 239, Vidhan Bhavan Marg, Nariman Point, MUMBAI, MAHARASHTRA, 400021 IN</v>
    <v>182.72</v>
    <v>Banking Services</v>
    <v>Stock</v>
    <v>46052.478530092594</v>
    <v>34</v>
    <v>176</v>
    <v>1268629000000</v>
    <v>UNION BANK OF INDIA LIMITED</v>
    <v>UNION BANK OF INDIA LIMITED</v>
    <v>178</v>
    <v>7.2842000000000002</v>
    <v>179.44</v>
    <v>180.76</v>
    <v>7633605000</v>
    <v>UNIONBANK</v>
    <v>UNION BANK OF INDIA LIMITED (XNSE:UNIONBANK)</v>
    <v>15736553</v>
    <v>30174440</v>
    <v>1919</v>
  </rv>
  <rv s="2">
    <v>35</v>
  </rv>
  <rv s="0">
    <v>https://www.bing.com/financeapi/forcetrigger?t=ahhr77&amp;q=XNSE%3aFEDERALBNK&amp;form=skydnc</v>
    <v>Learn more on Bing</v>
  </rv>
  <rv s="3">
    <v>en-IN</v>
    <v>ahhr77</v>
    <v>268435456</v>
    <v>1</v>
    <v>Powered by Refinitiv</v>
    <v>5</v>
    <v>THE FEDERAL BANK LTD (XNSE:FEDERALBNK)</v>
    <v>2</v>
    <v>6</v>
    <v>Finance</v>
    <v>4</v>
    <v>289.60000000000002</v>
    <v>172.66</v>
    <v>0.86509999999999998</v>
    <v>0.15</v>
    <v>5.2159999999999999E-4</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288.64999999999998</v>
    <v>Banking Services</v>
    <v>Stock</v>
    <v>46052.478506944448</v>
    <v>37</v>
    <v>282.5</v>
    <v>613857500000</v>
    <v>THE FEDERAL BANK LTD</v>
    <v>THE FEDERAL BANK LTD</v>
    <v>286.64999999999998</v>
    <v>17.239999999999998</v>
    <v>287.60000000000002</v>
    <v>287.75</v>
    <v>2462813000</v>
    <v>FEDERALBNK</v>
    <v>THE FEDERAL BANK LTD (XNSE:FEDERALBNK)</v>
    <v>4286394</v>
    <v>20272890</v>
    <v>1931</v>
  </rv>
  <rv s="2">
    <v>38</v>
  </rv>
  <rv s="0">
    <v>https://www.bing.com/financeapi/forcetrigger?t=ahi8zr&amp;q=XNSE%3aIDFCFIRSTB&amp;form=skydnc</v>
    <v>Learn more on Bing</v>
  </rv>
  <rv s="3">
    <v>en-IN</v>
    <v>ahi8zr</v>
    <v>268435456</v>
    <v>1</v>
    <v>Powered by Refinitiv</v>
    <v>5</v>
    <v>IDFC FIRST BANK LIMITED (XNSE:IDFCFIRSTB)</v>
    <v>2</v>
    <v>6</v>
    <v>Finance</v>
    <v>4</v>
    <v>87</v>
    <v>52.46</v>
    <v>1.3983000000000001</v>
    <v>0.11</v>
    <v>1.3179999999999999E-3</v>
    <v>INR</v>
    <v>IDFC FIRST Bank Limited (the Bank) is a universal bank. The Bank offers end-to-end corporate banking, trade finance, such as issuance of LCs &amp; BGs, SBLC, packing credit, pre-shipment and post-shipment finance, including risk hedging solutions like forwards, swaps, options, and other forex solutions, SME banking, wealth management, cash management, nostro and vostro account operations, Escrow facilities, correspondent banking, fastag, toll-acquiring, dealer finance and purchase/sales invoice discounting. Its treasury segment primarily consists of the Bank’s investment portfolio, money market borrowing and lending, investment operations and the foreign exchange and derivatives portfolio of the Bank. Its corporate/wholesale banking segment provides loans, non-fund facilities, treasury products, and transaction services. Its retail banking segment lends to individual / business banking customers. Its other banking business segment includes the distribution of third-party products.</v>
    <v>42190</v>
    <v>National Stock Exchange of India</v>
    <v>XNSE</v>
    <v>XNSE</v>
    <v>The Square,C-61, G Block, Ground Floor To 8th Floor Bandra Kurla Complex, Bandra East, MUMBAI, MAHARASHTRA, 400051 IN</v>
    <v>84.5</v>
    <v>Banking Services</v>
    <v>Stock</v>
    <v>46052.478518518517</v>
    <v>40</v>
    <v>82.52</v>
    <v>713178400000</v>
    <v>IDFC FIRST BANK LIMITED</v>
    <v>IDFC FIRST BANK LIMITED</v>
    <v>82.52</v>
    <v>42.64</v>
    <v>83.47</v>
    <v>83.58</v>
    <v>8597745000</v>
    <v>IDFCFIRSTB</v>
    <v>IDFC FIRST BANK LIMITED (XNSE:IDFCFIRSTB)</v>
    <v>42058731</v>
    <v>24694850</v>
    <v>2014</v>
  </rv>
  <rv s="2">
    <v>41</v>
  </rv>
</rvData>
</file>

<file path=xl/richData/rdrichvaluestructure.xml><?xml version="1.0" encoding="utf-8"?>
<rvStructures xmlns="http://schemas.microsoft.com/office/spreadsheetml/2017/richdata" count="7">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2">
    <spb s="0">
      <v>0</v>
      <v>Name</v>
      <v>LearnMoreOnLink</v>
    </spb>
    <spb s="1">
      <v>0</v>
      <v>0</v>
      <v>0</v>
    </spb>
    <spb s="2">
      <v>1</v>
      <v>1</v>
      <v>1</v>
      <v>1</v>
    </spb>
    <spb s="3">
      <v>1</v>
      <v>2</v>
      <v>2</v>
      <v>1</v>
      <v>3</v>
      <v>1</v>
      <v>1</v>
      <v>1</v>
      <v>4</v>
      <v>4</v>
      <v>5</v>
      <v>6</v>
      <v>1</v>
      <v>1</v>
      <v>1</v>
      <v>4</v>
      <v>7</v>
      <v>8</v>
      <v>4</v>
    </spb>
    <spb s="4">
      <v>Delayed 5 minutes</v>
      <v>from previous close</v>
      <v>from previous close</v>
      <v>GMT</v>
    </spb>
    <spb s="0">
      <v>1</v>
      <v>Name</v>
      <v>LearnMoreOnLink</v>
    </spb>
    <spb s="5">
      <v>1</v>
      <v>2</v>
      <v>2</v>
      <v>1</v>
      <v>3</v>
      <v>1</v>
      <v>1</v>
      <v>1</v>
      <v>4</v>
      <v>4</v>
      <v>5</v>
      <v>6</v>
      <v>1</v>
      <v>1</v>
      <v>1</v>
      <v>4</v>
      <v>7</v>
      <v>9</v>
      <v>8</v>
      <v>4</v>
    </spb>
    <spb s="0">
      <v>2</v>
      <v>Name</v>
      <v>LearnMoreOnLink</v>
    </spb>
    <spb s="6">
      <v>0</v>
      <v>0</v>
    </spb>
    <spb s="7">
      <v>8</v>
      <v>1</v>
      <v>1</v>
      <v>1</v>
      <v>1</v>
    </spb>
    <spb s="8">
      <v>1</v>
      <v>2</v>
      <v>2</v>
      <v>1</v>
      <v>3</v>
      <v>1</v>
      <v>10</v>
      <v>1</v>
      <v>1</v>
      <v>4</v>
      <v>4</v>
      <v>5</v>
      <v>6</v>
      <v>1</v>
      <v>1</v>
      <v>1</v>
      <v>4</v>
      <v>7</v>
      <v>9</v>
      <v>8</v>
      <v>4</v>
    </spb>
    <spb s="9">
      <v>Powered by Refinitiv</v>
    </spb>
  </spbData>
</supportingPropertyBags>
</file>

<file path=xl/richData/rdsupportingpropertybagstructure.xml><?xml version="1.0" encoding="utf-8"?>
<spbStructures xmlns="http://schemas.microsoft.com/office/spreadsheetml/2017/richdata2" count="1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3" formatCode="#,##0"/>
    </x:dxf>
    <x:dxf>
      <x:numFmt numFmtId="4" formatCode="#,##0.00"/>
    </x:dxf>
    <x:dxf>
      <x:numFmt numFmtId="1" formatCode="0"/>
    </x:dxf>
    <x:dxf>
      <x:numFmt numFmtId="14" formatCode="0.00%"/>
    </x:dxf>
  </dxfs>
  <richProperties>
    <rPr n="NumberFormat" t="s"/>
    <rPr n="IsTitleField" t="b"/>
    <rPr n="IsHeroField" t="b"/>
  </richProperties>
  <richStyles>
    <rSty dxfid="1">
      <rpv i="0" xml:space="preserve">_ [$₹-en-IN] * #,##0.00_ ;_ [$₹-en-IN] * -#,##0.00_ ;_ [$₹-en-IN] * "-"??_ ;_ @_ </rpv>
    </rSty>
    <rSty dxfid="4">
      <rpv i="0">#,##0.00</rpv>
    </rSty>
    <rSty>
      <rpv i="1">1</rpv>
    </rSty>
    <rSty dxfid="3">
      <rpv i="0">#,##0</rpv>
    </rSty>
    <rSty dxfid="6"/>
    <rSty dxfid="1">
      <rpv i="0" xml:space="preserve">_ [$₹-en-IN] * #,##0_ ;_ [$₹-en-IN] * -#,##0_ ;_ [$₹-en-IN] * "-"_ ;_ @_ </rpv>
    </rSty>
    <rSty dxfid="2"/>
    <rSty dxfid="0">
      <rpv i="0">0.00</rpv>
    </rSty>
    <rSty dxfid="5">
      <rpv i="0">0</rpv>
    </rSty>
    <rSty>
      <rpv i="2">1</rpv>
    </rSty>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8F798BC-E886-4D89-B88E-94324567F824}">
  <we:reference id="wa104379220" version="8.0.0.0" store="en-US" storeType="OMEX"/>
  <we:alternateReferences>
    <we:reference id="wa104379220" version="8.0.0.0" store="WA104379220" storeType="OMEX"/>
  </we:alternateReferences>
  <we:properties>
    <we:property name="Office.AutoShowTaskpaneWithDocument" value="true"/>
    <we:property name="lastCryptoCompare" value="0"/>
    <we:property name="lastIexCall" value="0"/>
    <we:property name="lastMutualFundsCall" value="0"/>
    <we:property name="stocks" value="{}"/>
    <we:property name="stocksChange" value="{}"/>
    <we:property name="stocksOrder" value="[]"/>
    <we:property name="stocksSources" value="{}"/>
    <we:property name="updateIntervalIndex" value="2"/>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nseindia.com/static/market-data/securities-available-for-trading" TargetMode="External"/><Relationship Id="rId1" Type="http://schemas.openxmlformats.org/officeDocument/2006/relationships/hyperlink" Target="https://ticker.finology.in/?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C24EC-59F3-41FA-9E09-475807A21CA5}">
  <dimension ref="B1:AC32"/>
  <sheetViews>
    <sheetView showGridLines="0" tabSelected="1" topLeftCell="D1" workbookViewId="0">
      <selection activeCell="M14" sqref="M14"/>
    </sheetView>
  </sheetViews>
  <sheetFormatPr defaultRowHeight="14.4" x14ac:dyDescent="0.3"/>
  <cols>
    <col min="2" max="2" width="30.33203125" customWidth="1"/>
    <col min="3" max="3" width="24.109375" customWidth="1"/>
    <col min="4" max="4" width="11.5546875" customWidth="1"/>
    <col min="5" max="5" width="13.21875" customWidth="1"/>
    <col min="6" max="6" width="13.109375" customWidth="1"/>
    <col min="7" max="7" width="19" bestFit="1" customWidth="1"/>
    <col min="11" max="11" width="8.88671875" customWidth="1"/>
    <col min="17" max="17" width="11.44140625" customWidth="1"/>
    <col min="18" max="18" width="11.33203125" customWidth="1"/>
  </cols>
  <sheetData>
    <row r="1" spans="2:29" x14ac:dyDescent="0.3">
      <c r="J1" s="57" t="s">
        <v>41</v>
      </c>
    </row>
    <row r="2" spans="2:29" ht="21" x14ac:dyDescent="0.4">
      <c r="B2" s="1" t="s">
        <v>37</v>
      </c>
      <c r="C2" s="2"/>
      <c r="D2" s="43" t="s">
        <v>0</v>
      </c>
      <c r="E2" s="44">
        <f ca="1">TODAY()</f>
        <v>46054</v>
      </c>
      <c r="F2" s="3"/>
      <c r="G2" s="43" t="s">
        <v>38</v>
      </c>
      <c r="H2" s="48" t="s">
        <v>40</v>
      </c>
      <c r="I2" s="2"/>
      <c r="J2" s="2"/>
      <c r="K2" s="2"/>
      <c r="L2" s="2"/>
      <c r="M2" s="2"/>
      <c r="N2" s="2"/>
      <c r="O2" s="2"/>
      <c r="P2" s="2"/>
      <c r="Q2" s="2"/>
      <c r="R2" s="3"/>
      <c r="S2" s="2"/>
      <c r="T2" s="2"/>
      <c r="U2" s="3"/>
      <c r="V2" s="2"/>
      <c r="W2" s="2"/>
      <c r="X2" s="2"/>
      <c r="Y2" s="2"/>
      <c r="Z2" s="2"/>
      <c r="AA2" s="2"/>
      <c r="AB2" s="2"/>
      <c r="AC2" s="2"/>
    </row>
    <row r="4" spans="2:29" x14ac:dyDescent="0.3">
      <c r="E4" s="46" t="s">
        <v>39</v>
      </c>
      <c r="F4" s="46" t="s">
        <v>39</v>
      </c>
      <c r="G4" s="46" t="s">
        <v>39</v>
      </c>
    </row>
    <row r="5" spans="2:29" ht="17.399999999999999" x14ac:dyDescent="0.3">
      <c r="B5" s="4"/>
      <c r="C5" s="5"/>
      <c r="D5" s="6"/>
      <c r="E5" s="6"/>
      <c r="F5" s="6"/>
      <c r="G5" s="6"/>
      <c r="H5" s="6"/>
      <c r="I5" s="6"/>
      <c r="J5" s="6"/>
      <c r="K5" s="6"/>
      <c r="L5" s="6"/>
      <c r="M5" s="6"/>
      <c r="N5" s="6"/>
      <c r="O5" s="6"/>
      <c r="P5" s="6"/>
      <c r="Q5" s="6"/>
      <c r="R5" s="6"/>
      <c r="S5" s="6"/>
      <c r="T5" s="6"/>
      <c r="U5" s="6"/>
      <c r="V5" s="6"/>
      <c r="W5" s="6"/>
      <c r="X5" s="7" t="s">
        <v>1</v>
      </c>
      <c r="Y5" s="7"/>
      <c r="Z5" s="7"/>
      <c r="AA5" s="7"/>
      <c r="AB5" s="7"/>
      <c r="AC5" s="7"/>
    </row>
    <row r="6" spans="2:29" ht="17.399999999999999" x14ac:dyDescent="0.3">
      <c r="B6" s="4"/>
      <c r="C6" s="4"/>
      <c r="D6" s="6" t="s">
        <v>2</v>
      </c>
      <c r="E6" s="6" t="s">
        <v>3</v>
      </c>
      <c r="F6" s="6" t="s">
        <v>4</v>
      </c>
      <c r="G6" s="6" t="s">
        <v>5</v>
      </c>
      <c r="H6" s="7"/>
      <c r="I6" s="7" t="s">
        <v>6</v>
      </c>
      <c r="J6" s="7"/>
      <c r="K6" s="7"/>
      <c r="L6" s="7" t="s">
        <v>7</v>
      </c>
      <c r="M6" s="7"/>
      <c r="N6" s="7" t="s">
        <v>8</v>
      </c>
      <c r="O6" s="7"/>
      <c r="P6" s="6"/>
      <c r="Q6" s="7" t="s">
        <v>9</v>
      </c>
      <c r="R6" s="7"/>
      <c r="S6" s="7" t="s">
        <v>10</v>
      </c>
      <c r="T6" s="7"/>
      <c r="U6" s="7" t="s">
        <v>11</v>
      </c>
      <c r="V6" s="7"/>
      <c r="W6" s="6"/>
      <c r="X6" s="7" t="s">
        <v>12</v>
      </c>
      <c r="Y6" s="7"/>
      <c r="Z6" s="7" t="s">
        <v>13</v>
      </c>
      <c r="AA6" s="7"/>
      <c r="AB6" s="7" t="s">
        <v>14</v>
      </c>
      <c r="AC6" s="7"/>
    </row>
    <row r="7" spans="2:29" ht="15.6" x14ac:dyDescent="0.3">
      <c r="B7" s="8" t="s">
        <v>15</v>
      </c>
      <c r="C7" s="8" t="s">
        <v>16</v>
      </c>
      <c r="D7" s="9" t="s">
        <v>17</v>
      </c>
      <c r="E7" s="9" t="s">
        <v>18</v>
      </c>
      <c r="F7" s="9" t="s">
        <v>19</v>
      </c>
      <c r="G7" s="9" t="s">
        <v>20</v>
      </c>
      <c r="H7" s="10"/>
      <c r="I7" s="10">
        <v>2025</v>
      </c>
      <c r="J7" s="10">
        <f>I7-1</f>
        <v>2024</v>
      </c>
      <c r="K7" s="10">
        <f>J7-1</f>
        <v>2023</v>
      </c>
      <c r="L7" s="10">
        <f>J7</f>
        <v>2024</v>
      </c>
      <c r="M7" s="10">
        <f>K7</f>
        <v>2023</v>
      </c>
      <c r="N7" s="10">
        <f>L7</f>
        <v>2024</v>
      </c>
      <c r="O7" s="10">
        <f>M7</f>
        <v>2023</v>
      </c>
      <c r="P7" s="9"/>
      <c r="Q7" s="10" t="str">
        <f>_xlfn.CONCAT(I7,"-",J7)</f>
        <v>2025-2024</v>
      </c>
      <c r="R7" s="10" t="str">
        <f>_xlfn.CONCAT(J7,"-",K7)</f>
        <v>2024-2023</v>
      </c>
      <c r="S7" s="10">
        <f>J7</f>
        <v>2024</v>
      </c>
      <c r="T7" s="10">
        <f>K7</f>
        <v>2023</v>
      </c>
      <c r="U7" s="10">
        <f>S7</f>
        <v>2024</v>
      </c>
      <c r="V7" s="10">
        <f>T7</f>
        <v>2023</v>
      </c>
      <c r="W7" s="10"/>
      <c r="X7" s="10">
        <f>J7</f>
        <v>2024</v>
      </c>
      <c r="Y7" s="10">
        <f>K7</f>
        <v>2023</v>
      </c>
      <c r="Z7" s="10">
        <f>J7</f>
        <v>2024</v>
      </c>
      <c r="AA7" s="10">
        <f>K7</f>
        <v>2023</v>
      </c>
      <c r="AB7" s="10">
        <f>J7</f>
        <v>2024</v>
      </c>
      <c r="AC7" s="10">
        <f>K7</f>
        <v>2023</v>
      </c>
    </row>
    <row r="8" spans="2:29" ht="15.6" x14ac:dyDescent="0.3">
      <c r="B8" s="11"/>
      <c r="C8" s="11"/>
      <c r="D8" s="12"/>
      <c r="E8" s="12"/>
      <c r="F8" s="12"/>
      <c r="G8" s="12"/>
      <c r="H8" s="12"/>
      <c r="I8" s="12"/>
      <c r="J8" s="12"/>
      <c r="K8" s="12"/>
      <c r="L8" s="12"/>
      <c r="M8" s="12"/>
      <c r="N8" s="12"/>
      <c r="O8" s="12"/>
      <c r="P8" s="12"/>
      <c r="Q8" s="13"/>
      <c r="R8" s="13"/>
      <c r="S8" s="13"/>
      <c r="T8" s="13"/>
      <c r="U8" s="13"/>
      <c r="V8" s="13"/>
      <c r="W8" s="13"/>
      <c r="X8" s="13"/>
      <c r="Y8" s="13"/>
      <c r="Z8" s="13"/>
      <c r="AA8" s="13"/>
      <c r="AB8" s="13"/>
      <c r="AC8" s="13"/>
    </row>
    <row r="9" spans="2:29" ht="15.6" x14ac:dyDescent="0.3">
      <c r="B9" s="18" t="e" vm="1">
        <v>#VALUE!</v>
      </c>
      <c r="C9" s="14" t="str" cm="1">
        <f t="array" aca="1" ref="C9" ca="1">_FV(B9,"Ticker symbol",TRUE)</f>
        <v>SBIN</v>
      </c>
      <c r="D9" s="49" cm="1">
        <f t="array" aca="1" ref="D9" ca="1">_FV(B9,"Price")</f>
        <v>1077.1500000000001</v>
      </c>
      <c r="E9" s="15" cm="1">
        <f t="array" aca="1" ref="E9" ca="1">_FV(B9,"Shares outstanding",TRUE)/10000000</f>
        <v>923.06169999999997</v>
      </c>
      <c r="F9" s="47">
        <v>2001956.74</v>
      </c>
      <c r="G9" s="47" cm="1">
        <f t="array" aca="1" ref="G9" ca="1">_FV(B9,"Market cap",TRUE)/10000000</f>
        <v>949322.9</v>
      </c>
      <c r="H9" s="54" t="str">
        <f ca="1">HYPERLINK("https://www.screener.in/company/"&amp;SUBSTITUTE(C9," ","")&amp;"/consolidated/","Financials")</f>
        <v>Financials</v>
      </c>
      <c r="I9" s="52">
        <v>490938</v>
      </c>
      <c r="J9" s="52">
        <v>439189</v>
      </c>
      <c r="K9" s="52">
        <v>350845</v>
      </c>
      <c r="L9" s="52">
        <v>132005.42000000001</v>
      </c>
      <c r="M9" s="52">
        <v>135923.75</v>
      </c>
      <c r="N9" s="52">
        <v>100817.87</v>
      </c>
      <c r="O9" s="52">
        <v>104209.94</v>
      </c>
      <c r="P9" s="16"/>
      <c r="Q9" s="16">
        <f>J9/I9-1</f>
        <v>-0.1054084222447641</v>
      </c>
      <c r="R9" s="16">
        <f>K9/J9-1</f>
        <v>-0.20115257895803407</v>
      </c>
      <c r="S9" s="16">
        <f>L9/J9</f>
        <v>0.30056631655164406</v>
      </c>
      <c r="T9" s="16">
        <f>M9/K9</f>
        <v>0.38741823312288903</v>
      </c>
      <c r="U9" s="16">
        <f>N9/J9</f>
        <v>0.22955463365430373</v>
      </c>
      <c r="V9" s="16">
        <f>O9/K9</f>
        <v>0.29702558109706567</v>
      </c>
      <c r="W9" s="16"/>
      <c r="X9" s="17">
        <f>$F9/J9</f>
        <v>4.5583034638845694</v>
      </c>
      <c r="Y9" s="17">
        <f>$F9/K9</f>
        <v>5.7061002436973594</v>
      </c>
      <c r="Z9" s="17">
        <f>$F9/L9</f>
        <v>15.165716225894359</v>
      </c>
      <c r="AA9" s="17">
        <f>$F9/M9</f>
        <v>14.728527869485649</v>
      </c>
      <c r="AB9" s="17">
        <f ca="1">$G9/N9</f>
        <v>9.4162165893804346</v>
      </c>
      <c r="AC9" s="17">
        <f ca="1">$G9/O9</f>
        <v>9.109715445570739</v>
      </c>
    </row>
    <row r="10" spans="2:29" ht="15.6" x14ac:dyDescent="0.3">
      <c r="B10" s="18"/>
      <c r="D10" s="19"/>
      <c r="E10" s="20"/>
      <c r="F10" s="20"/>
      <c r="G10" s="20"/>
      <c r="H10" s="55"/>
      <c r="I10" s="53"/>
      <c r="J10" s="53"/>
      <c r="K10" s="53"/>
      <c r="L10" s="53"/>
      <c r="M10" s="53"/>
      <c r="N10" s="53"/>
      <c r="O10" s="53"/>
      <c r="P10" s="21"/>
      <c r="Q10" s="21"/>
      <c r="R10" s="21"/>
      <c r="S10" s="21"/>
      <c r="T10" s="21"/>
      <c r="U10" s="21"/>
      <c r="V10" s="21"/>
      <c r="W10" s="21"/>
      <c r="X10" s="22"/>
      <c r="Y10" s="22"/>
      <c r="Z10" s="22"/>
      <c r="AA10" s="22"/>
      <c r="AB10" s="22"/>
      <c r="AC10" s="22"/>
    </row>
    <row r="11" spans="2:29" ht="15.6" x14ac:dyDescent="0.3">
      <c r="B11" s="18" t="e" vm="2">
        <v>#VALUE!</v>
      </c>
      <c r="C11" t="str" cm="1">
        <f t="array" aca="1" ref="C11" ca="1">_FV(B11,"Ticker symbol",TRUE)</f>
        <v>HDFCBANK</v>
      </c>
      <c r="D11" s="50" cm="1">
        <f t="array" aca="1" ref="D11" ca="1">_FV(B11,"Price")</f>
        <v>929.25</v>
      </c>
      <c r="E11" s="20" cm="1">
        <f t="array" aca="1" ref="E11" ca="1">_FV(B11,"Shares outstanding",TRUE)/10000000</f>
        <v>1538.68</v>
      </c>
      <c r="F11" s="20"/>
      <c r="G11" s="51" cm="1">
        <f t="array" aca="1" ref="G11" ca="1">_FV(B11,"Market cap",TRUE)/10000000</f>
        <v>1442067</v>
      </c>
      <c r="H11" s="56" t="str">
        <f t="shared" ref="H11:H21" ca="1" si="0">HYPERLINK("https://www.screener.in/company/"&amp;SUBSTITUTE(C11," ","")&amp;"/consolidated/","Financials")</f>
        <v>Financials</v>
      </c>
      <c r="I11" s="53"/>
      <c r="J11" s="53"/>
      <c r="K11" s="53"/>
      <c r="L11" s="53"/>
      <c r="M11" s="53"/>
      <c r="N11" s="53"/>
      <c r="O11" s="53"/>
      <c r="P11" s="23"/>
      <c r="Q11" s="23" t="e">
        <f>J11/I11-1</f>
        <v>#DIV/0!</v>
      </c>
      <c r="R11" s="23" t="e">
        <f>K11/J11-1</f>
        <v>#DIV/0!</v>
      </c>
      <c r="S11" s="23" t="e">
        <f t="shared" ref="S11:T18" si="1">L11/J11</f>
        <v>#DIV/0!</v>
      </c>
      <c r="T11" s="23" t="e">
        <f t="shared" si="1"/>
        <v>#DIV/0!</v>
      </c>
      <c r="U11" s="23" t="e">
        <f t="shared" ref="U11:V18" si="2">N11/J11</f>
        <v>#DIV/0!</v>
      </c>
      <c r="V11" s="23" t="e">
        <f t="shared" si="2"/>
        <v>#DIV/0!</v>
      </c>
      <c r="W11" s="23"/>
      <c r="X11" s="22" t="e">
        <f t="shared" ref="X11:AA12" si="3">$F11/J11</f>
        <v>#DIV/0!</v>
      </c>
      <c r="Y11" s="22" t="e">
        <f t="shared" si="3"/>
        <v>#DIV/0!</v>
      </c>
      <c r="Z11" s="22" t="e">
        <f t="shared" si="3"/>
        <v>#DIV/0!</v>
      </c>
      <c r="AA11" s="22" t="e">
        <f t="shared" si="3"/>
        <v>#DIV/0!</v>
      </c>
      <c r="AB11" s="22" t="e">
        <f ca="1">$G11/N11</f>
        <v>#DIV/0!</v>
      </c>
      <c r="AC11" s="22" t="e">
        <f ca="1">$G11/O11</f>
        <v>#DIV/0!</v>
      </c>
    </row>
    <row r="12" spans="2:29" ht="15.6" x14ac:dyDescent="0.3">
      <c r="B12" s="18" t="e" vm="3">
        <v>#VALUE!</v>
      </c>
      <c r="C12" t="str" cm="1">
        <f t="array" aca="1" ref="C12" ca="1">_FV(B12,"Ticker symbol",TRUE)</f>
        <v>ICICIBANK</v>
      </c>
      <c r="D12" s="50" cm="1">
        <f t="array" aca="1" ref="D12" ca="1">_FV(B12,"Price")</f>
        <v>1355</v>
      </c>
      <c r="E12" s="20" cm="1">
        <f t="array" aca="1" ref="E12" ca="1">_FV(B12,"Shares outstanding",TRUE)/10000000</f>
        <v>715.32349999999997</v>
      </c>
      <c r="F12" s="20"/>
      <c r="G12" s="51" cm="1">
        <f t="array" aca="1" ref="G12" ca="1">_FV(B12,"Market cap",TRUE)/10000000</f>
        <v>1027296</v>
      </c>
      <c r="H12" s="56" t="str">
        <f t="shared" ca="1" si="0"/>
        <v>Financials</v>
      </c>
      <c r="I12" s="53"/>
      <c r="J12" s="53"/>
      <c r="K12" s="53"/>
      <c r="L12" s="53"/>
      <c r="M12" s="53"/>
      <c r="N12" s="53"/>
      <c r="O12" s="53"/>
      <c r="P12" s="23"/>
      <c r="Q12" s="23" t="e">
        <f t="shared" ref="Q12:R18" si="4">J12/I12-1</f>
        <v>#DIV/0!</v>
      </c>
      <c r="R12" s="23" t="e">
        <f t="shared" si="4"/>
        <v>#DIV/0!</v>
      </c>
      <c r="S12" s="23" t="e">
        <f t="shared" si="1"/>
        <v>#DIV/0!</v>
      </c>
      <c r="T12" s="23" t="e">
        <f t="shared" si="1"/>
        <v>#DIV/0!</v>
      </c>
      <c r="U12" s="23" t="e">
        <f t="shared" si="2"/>
        <v>#DIV/0!</v>
      </c>
      <c r="V12" s="23" t="e">
        <f t="shared" si="2"/>
        <v>#DIV/0!</v>
      </c>
      <c r="W12" s="23"/>
      <c r="X12" s="22" t="e">
        <f t="shared" si="3"/>
        <v>#DIV/0!</v>
      </c>
      <c r="Y12" s="22" t="e">
        <f t="shared" si="3"/>
        <v>#DIV/0!</v>
      </c>
      <c r="Z12" s="22" t="e">
        <f t="shared" si="3"/>
        <v>#DIV/0!</v>
      </c>
      <c r="AA12" s="22" t="e">
        <f t="shared" si="3"/>
        <v>#DIV/0!</v>
      </c>
      <c r="AB12" s="22" t="e">
        <f ca="1">$G12/N12</f>
        <v>#DIV/0!</v>
      </c>
      <c r="AC12" s="22" t="e">
        <f ca="1">$G12/O12</f>
        <v>#DIV/0!</v>
      </c>
    </row>
    <row r="13" spans="2:29" ht="15.6" x14ac:dyDescent="0.3">
      <c r="B13" s="18" t="e" vm="4">
        <v>#VALUE!</v>
      </c>
      <c r="C13" t="str" cm="1">
        <f t="array" aca="1" ref="C13" ca="1">_FV(B13,"Ticker symbol",TRUE)</f>
        <v>AXISBANK</v>
      </c>
      <c r="D13" s="50" cm="1">
        <f t="array" aca="1" ref="D13" ca="1">_FV(B13,"Price")</f>
        <v>1370.4</v>
      </c>
      <c r="E13" s="20" cm="1">
        <f t="array" aca="1" ref="E13" ca="1">_FV(B13,"Shares outstanding",TRUE)/10000000</f>
        <v>310.54590000000002</v>
      </c>
      <c r="F13" s="20"/>
      <c r="G13" s="51" cm="1">
        <f t="array" aca="1" ref="G13" ca="1">_FV(B13,"Market cap",TRUE)/10000000</f>
        <v>391878.8</v>
      </c>
      <c r="H13" s="56" t="str">
        <f t="shared" ca="1" si="0"/>
        <v>Financials</v>
      </c>
      <c r="I13" s="53"/>
      <c r="J13" s="53"/>
      <c r="K13" s="53"/>
      <c r="L13" s="53"/>
      <c r="M13" s="53"/>
      <c r="N13" s="53"/>
      <c r="O13" s="53"/>
      <c r="P13" s="23"/>
      <c r="Q13" s="23" t="e">
        <f t="shared" si="4"/>
        <v>#DIV/0!</v>
      </c>
      <c r="R13" s="23" t="e">
        <f t="shared" si="4"/>
        <v>#DIV/0!</v>
      </c>
      <c r="S13" s="23" t="e">
        <f t="shared" si="1"/>
        <v>#DIV/0!</v>
      </c>
      <c r="T13" s="23" t="e">
        <f t="shared" si="1"/>
        <v>#DIV/0!</v>
      </c>
      <c r="U13" s="23" t="e">
        <f t="shared" si="2"/>
        <v>#DIV/0!</v>
      </c>
      <c r="V13" s="23" t="e">
        <f t="shared" si="2"/>
        <v>#DIV/0!</v>
      </c>
      <c r="W13" s="23"/>
      <c r="X13" s="22"/>
      <c r="Y13" s="22"/>
      <c r="Z13" s="22"/>
      <c r="AA13" s="22"/>
      <c r="AB13" s="22"/>
      <c r="AC13" s="22"/>
    </row>
    <row r="14" spans="2:29" ht="15.6" x14ac:dyDescent="0.3">
      <c r="B14" s="18" t="e" vm="5">
        <v>#VALUE!</v>
      </c>
      <c r="C14" t="str" cm="1">
        <f t="array" aca="1" ref="C14" ca="1">_FV(B14,"Ticker symbol",TRUE)</f>
        <v>KOTAKBANK</v>
      </c>
      <c r="D14" s="50" cm="1">
        <f t="array" aca="1" ref="D14" ca="1">_FV(B14,"Price")</f>
        <v>408</v>
      </c>
      <c r="E14" s="20" cm="1">
        <f t="array" aca="1" ref="E14" ca="1">_FV(B14,"Shares outstanding",TRUE)/10000000</f>
        <v>1094.646</v>
      </c>
      <c r="F14" s="20"/>
      <c r="G14" s="51" cm="1">
        <f t="array" aca="1" ref="G14" ca="1">_FV(B14,"Market cap",TRUE)/10000000</f>
        <v>424195.2</v>
      </c>
      <c r="H14" s="56" t="str">
        <f t="shared" ca="1" si="0"/>
        <v>Financials</v>
      </c>
      <c r="I14" s="53"/>
      <c r="J14" s="53"/>
      <c r="K14" s="53"/>
      <c r="L14" s="53"/>
      <c r="M14" s="53"/>
      <c r="N14" s="53"/>
      <c r="O14" s="53"/>
      <c r="P14" s="23"/>
      <c r="Q14" s="23" t="e">
        <f t="shared" si="4"/>
        <v>#DIV/0!</v>
      </c>
      <c r="R14" s="23" t="e">
        <f t="shared" si="4"/>
        <v>#DIV/0!</v>
      </c>
      <c r="S14" s="23" t="e">
        <f t="shared" si="1"/>
        <v>#DIV/0!</v>
      </c>
      <c r="T14" s="23" t="e">
        <f t="shared" si="1"/>
        <v>#DIV/0!</v>
      </c>
      <c r="U14" s="23" t="e">
        <f t="shared" si="2"/>
        <v>#DIV/0!</v>
      </c>
      <c r="V14" s="23" t="e">
        <f t="shared" si="2"/>
        <v>#DIV/0!</v>
      </c>
      <c r="W14" s="23"/>
      <c r="X14" s="22" t="e">
        <f t="shared" ref="X14:AA16" si="5">$F14/J14</f>
        <v>#DIV/0!</v>
      </c>
      <c r="Y14" s="22" t="e">
        <f t="shared" si="5"/>
        <v>#DIV/0!</v>
      </c>
      <c r="Z14" s="22" t="e">
        <f t="shared" si="5"/>
        <v>#DIV/0!</v>
      </c>
      <c r="AA14" s="22" t="e">
        <f t="shared" si="5"/>
        <v>#DIV/0!</v>
      </c>
      <c r="AB14" s="22" t="e">
        <f t="shared" ref="AB14:AC16" ca="1" si="6">$G14/N14</f>
        <v>#DIV/0!</v>
      </c>
      <c r="AC14" s="22" t="e">
        <f t="shared" ca="1" si="6"/>
        <v>#DIV/0!</v>
      </c>
    </row>
    <row r="15" spans="2:29" ht="15.6" x14ac:dyDescent="0.3">
      <c r="B15" s="18" t="e" vm="6">
        <v>#VALUE!</v>
      </c>
      <c r="C15" t="str" cm="1">
        <f t="array" aca="1" ref="C15" ca="1">_FV(B15,"Ticker symbol",TRUE)</f>
        <v>INDUSINDBK</v>
      </c>
      <c r="D15" s="50" cm="1">
        <f t="array" aca="1" ref="D15" ca="1">_FV(B15,"Price")</f>
        <v>896.1</v>
      </c>
      <c r="E15" s="20" cm="1">
        <f t="array" aca="1" ref="E15" ca="1">_FV(B15,"Shares outstanding",TRUE)/10000000</f>
        <v>77.907600000000002</v>
      </c>
      <c r="F15" s="20"/>
      <c r="G15" s="51" cm="1">
        <f t="array" aca="1" ref="G15" ca="1">_FV(B15,"Market cap",TRUE)/10000000</f>
        <v>70938.759999999995</v>
      </c>
      <c r="H15" s="56" t="str">
        <f t="shared" ca="1" si="0"/>
        <v>Financials</v>
      </c>
      <c r="I15" s="53"/>
      <c r="J15" s="53"/>
      <c r="K15" s="53"/>
      <c r="L15" s="53"/>
      <c r="M15" s="53"/>
      <c r="N15" s="53"/>
      <c r="O15" s="53"/>
      <c r="P15" s="23"/>
      <c r="Q15" s="23" t="e">
        <f t="shared" si="4"/>
        <v>#DIV/0!</v>
      </c>
      <c r="R15" s="23" t="e">
        <f t="shared" si="4"/>
        <v>#DIV/0!</v>
      </c>
      <c r="S15" s="23" t="e">
        <f t="shared" si="1"/>
        <v>#DIV/0!</v>
      </c>
      <c r="T15" s="23" t="e">
        <f t="shared" si="1"/>
        <v>#DIV/0!</v>
      </c>
      <c r="U15" s="23" t="e">
        <f t="shared" si="2"/>
        <v>#DIV/0!</v>
      </c>
      <c r="V15" s="23" t="e">
        <f t="shared" si="2"/>
        <v>#DIV/0!</v>
      </c>
      <c r="W15" s="23"/>
      <c r="X15" s="22" t="e">
        <f t="shared" si="5"/>
        <v>#DIV/0!</v>
      </c>
      <c r="Y15" s="22" t="e">
        <f t="shared" si="5"/>
        <v>#DIV/0!</v>
      </c>
      <c r="Z15" s="22" t="e">
        <f t="shared" si="5"/>
        <v>#DIV/0!</v>
      </c>
      <c r="AA15" s="22" t="e">
        <f t="shared" si="5"/>
        <v>#DIV/0!</v>
      </c>
      <c r="AB15" s="22" t="e">
        <f t="shared" ca="1" si="6"/>
        <v>#DIV/0!</v>
      </c>
      <c r="AC15" s="22" t="e">
        <f t="shared" ca="1" si="6"/>
        <v>#DIV/0!</v>
      </c>
    </row>
    <row r="16" spans="2:29" ht="15.6" x14ac:dyDescent="0.3">
      <c r="B16" s="18" t="e" vm="7">
        <v>#VALUE!</v>
      </c>
      <c r="C16" t="str" cm="1">
        <f t="array" aca="1" ref="C16" ca="1">_FV(B16,"Ticker symbol",TRUE)</f>
        <v>BANKBARODA</v>
      </c>
      <c r="D16" s="50" cm="1">
        <f t="array" aca="1" ref="D16" ca="1">_FV(B16,"Price")</f>
        <v>299.39999999999998</v>
      </c>
      <c r="E16" s="20" cm="1">
        <f t="array" aca="1" ref="E16" ca="1">_FV(B16,"Shares outstanding",TRUE)/10000000</f>
        <v>517.13620000000003</v>
      </c>
      <c r="F16" s="20"/>
      <c r="G16" s="51" cm="1">
        <f t="array" aca="1" ref="G16" ca="1">_FV(B16,"Market cap",TRUE)/10000000</f>
        <v>156097.60000000001</v>
      </c>
      <c r="H16" s="56" t="str">
        <f t="shared" ca="1" si="0"/>
        <v>Financials</v>
      </c>
      <c r="I16" s="53"/>
      <c r="J16" s="53"/>
      <c r="K16" s="53"/>
      <c r="L16" s="53"/>
      <c r="M16" s="53"/>
      <c r="N16" s="53"/>
      <c r="O16" s="53"/>
      <c r="P16" s="23"/>
      <c r="Q16" s="23" t="e">
        <f t="shared" si="4"/>
        <v>#DIV/0!</v>
      </c>
      <c r="R16" s="23" t="e">
        <f t="shared" si="4"/>
        <v>#DIV/0!</v>
      </c>
      <c r="S16" s="23" t="e">
        <f t="shared" si="1"/>
        <v>#DIV/0!</v>
      </c>
      <c r="T16" s="23" t="e">
        <f t="shared" si="1"/>
        <v>#DIV/0!</v>
      </c>
      <c r="U16" s="23" t="e">
        <f t="shared" si="2"/>
        <v>#DIV/0!</v>
      </c>
      <c r="V16" s="23" t="e">
        <f t="shared" si="2"/>
        <v>#DIV/0!</v>
      </c>
      <c r="W16" s="23"/>
      <c r="X16" s="22" t="e">
        <f t="shared" si="5"/>
        <v>#DIV/0!</v>
      </c>
      <c r="Y16" s="22" t="e">
        <f t="shared" si="5"/>
        <v>#DIV/0!</v>
      </c>
      <c r="Z16" s="22" t="e">
        <f t="shared" si="5"/>
        <v>#DIV/0!</v>
      </c>
      <c r="AA16" s="22" t="e">
        <f t="shared" si="5"/>
        <v>#DIV/0!</v>
      </c>
      <c r="AB16" s="22" t="e">
        <f t="shared" ca="1" si="6"/>
        <v>#DIV/0!</v>
      </c>
      <c r="AC16" s="22" t="e">
        <f t="shared" ca="1" si="6"/>
        <v>#DIV/0!</v>
      </c>
    </row>
    <row r="17" spans="2:29" ht="15.6" x14ac:dyDescent="0.3">
      <c r="B17" s="18" t="e" vm="8">
        <v>#VALUE!</v>
      </c>
      <c r="C17" t="str" cm="1">
        <f t="array" aca="1" ref="C17" ca="1">_FV(B17,"Ticker symbol",TRUE)</f>
        <v>PNB</v>
      </c>
      <c r="D17" s="50" cm="1">
        <f t="array" aca="1" ref="D17" ca="1">_FV(B17,"Price")</f>
        <v>125.19</v>
      </c>
      <c r="E17" s="20" cm="1">
        <f t="array" aca="1" ref="E17" ca="1">_FV(B17,"Shares outstanding",TRUE)/10000000</f>
        <v>1149.2940000000001</v>
      </c>
      <c r="F17" s="20"/>
      <c r="G17" s="51" cm="1">
        <f t="array" aca="1" ref="G17" ca="1">_FV(B17,"Market cap",TRUE)/10000000</f>
        <v>143110.1</v>
      </c>
      <c r="H17" s="56" t="str">
        <f t="shared" ca="1" si="0"/>
        <v>Financials</v>
      </c>
      <c r="I17" s="53"/>
      <c r="J17" s="53"/>
      <c r="K17" s="53"/>
      <c r="L17" s="53"/>
      <c r="M17" s="53"/>
      <c r="N17" s="53"/>
      <c r="O17" s="53"/>
      <c r="P17" s="23"/>
      <c r="Q17" s="23" t="e">
        <f t="shared" si="4"/>
        <v>#DIV/0!</v>
      </c>
      <c r="R17" s="23" t="e">
        <f t="shared" si="4"/>
        <v>#DIV/0!</v>
      </c>
      <c r="S17" s="23" t="e">
        <f t="shared" si="1"/>
        <v>#DIV/0!</v>
      </c>
      <c r="T17" s="23" t="e">
        <f t="shared" si="1"/>
        <v>#DIV/0!</v>
      </c>
      <c r="U17" s="23" t="e">
        <f t="shared" si="2"/>
        <v>#DIV/0!</v>
      </c>
      <c r="V17" s="23" t="e">
        <f t="shared" si="2"/>
        <v>#DIV/0!</v>
      </c>
      <c r="W17" s="23"/>
      <c r="X17" s="22"/>
      <c r="Y17" s="22"/>
      <c r="Z17" s="22"/>
      <c r="AA17" s="22"/>
      <c r="AB17" s="22"/>
      <c r="AC17" s="22"/>
    </row>
    <row r="18" spans="2:29" ht="15.6" x14ac:dyDescent="0.3">
      <c r="B18" s="18" t="e" vm="9">
        <v>#VALUE!</v>
      </c>
      <c r="C18" t="str" cm="1">
        <f t="array" aca="1" ref="C18" ca="1">_FV(B18,"Ticker symbol",TRUE)</f>
        <v>CANBK</v>
      </c>
      <c r="D18" s="50" cm="1">
        <f t="array" aca="1" ref="D18" ca="1">_FV(B18,"Price")</f>
        <v>147.41999999999999</v>
      </c>
      <c r="E18" s="20" cm="1">
        <f t="array" aca="1" ref="E18" ca="1">_FV(B18,"Shares outstanding",TRUE)/10000000</f>
        <v>907.06510000000003</v>
      </c>
      <c r="F18" s="20"/>
      <c r="G18" s="51" cm="1">
        <f t="array" aca="1" ref="G18" ca="1">_FV(B18,"Market cap",TRUE)/10000000</f>
        <v>136839.9</v>
      </c>
      <c r="H18" s="56" t="str">
        <f t="shared" ca="1" si="0"/>
        <v>Financials</v>
      </c>
      <c r="I18" s="53"/>
      <c r="J18" s="53"/>
      <c r="K18" s="53"/>
      <c r="L18" s="53"/>
      <c r="M18" s="53"/>
      <c r="N18" s="53"/>
      <c r="O18" s="53"/>
      <c r="P18" s="23"/>
      <c r="Q18" s="23" t="e">
        <f t="shared" si="4"/>
        <v>#DIV/0!</v>
      </c>
      <c r="R18" s="23" t="e">
        <f t="shared" si="4"/>
        <v>#DIV/0!</v>
      </c>
      <c r="S18" s="23" t="e">
        <f t="shared" si="1"/>
        <v>#DIV/0!</v>
      </c>
      <c r="T18" s="23" t="e">
        <f t="shared" si="1"/>
        <v>#DIV/0!</v>
      </c>
      <c r="U18" s="23" t="e">
        <f t="shared" si="2"/>
        <v>#DIV/0!</v>
      </c>
      <c r="V18" s="23" t="e">
        <f t="shared" si="2"/>
        <v>#DIV/0!</v>
      </c>
      <c r="W18" s="23"/>
      <c r="X18" s="22" t="e">
        <f>$F18/J18</f>
        <v>#DIV/0!</v>
      </c>
      <c r="Y18" s="22" t="e">
        <f>$F18/K18</f>
        <v>#DIV/0!</v>
      </c>
      <c r="Z18" s="22" t="e">
        <f>$F18/L18</f>
        <v>#DIV/0!</v>
      </c>
      <c r="AA18" s="22" t="e">
        <f>$F18/M18</f>
        <v>#DIV/0!</v>
      </c>
      <c r="AB18" s="22" t="e">
        <f ca="1">$G18/N18</f>
        <v>#DIV/0!</v>
      </c>
      <c r="AC18" s="22" t="e">
        <f ca="1">$G18/O18</f>
        <v>#DIV/0!</v>
      </c>
    </row>
    <row r="19" spans="2:29" ht="15.6" x14ac:dyDescent="0.3">
      <c r="B19" s="18" t="e" vm="10">
        <v>#VALUE!</v>
      </c>
      <c r="C19" t="str" cm="1">
        <f t="array" aca="1" ref="C19" ca="1">_FV(B19,"Ticker symbol",TRUE)</f>
        <v>UNIONBANK</v>
      </c>
      <c r="D19" s="50" cm="1">
        <f t="array" aca="1" ref="D19" ca="1">_FV(B19,"Price")</f>
        <v>180.76</v>
      </c>
      <c r="E19" s="20" cm="1">
        <f t="array" aca="1" ref="E19" ca="1">_FV(B19,"Shares outstanding",TRUE)/10000000</f>
        <v>763.3605</v>
      </c>
      <c r="F19" s="20"/>
      <c r="G19" s="51" cm="1">
        <f t="array" aca="1" ref="G19" ca="1">_FV(B19,"Market cap",TRUE)/10000000</f>
        <v>126862.9</v>
      </c>
      <c r="H19" s="56" t="str">
        <f t="shared" ca="1" si="0"/>
        <v>Financials</v>
      </c>
      <c r="I19" s="53"/>
      <c r="J19" s="53"/>
      <c r="K19" s="53"/>
      <c r="L19" s="53"/>
      <c r="M19" s="53"/>
      <c r="N19" s="53"/>
      <c r="O19" s="53"/>
      <c r="P19" s="23"/>
      <c r="Q19" s="23"/>
      <c r="R19" s="23"/>
      <c r="S19" s="23"/>
      <c r="T19" s="23"/>
      <c r="U19" s="23"/>
      <c r="V19" s="23"/>
      <c r="W19" s="23"/>
      <c r="X19" s="22"/>
      <c r="Y19" s="22"/>
      <c r="Z19" s="22"/>
      <c r="AA19" s="22"/>
      <c r="AB19" s="22"/>
      <c r="AC19" s="22"/>
    </row>
    <row r="20" spans="2:29" ht="15.6" x14ac:dyDescent="0.3">
      <c r="B20" s="18" t="e" vm="11">
        <v>#VALUE!</v>
      </c>
      <c r="C20" t="str" cm="1">
        <f t="array" aca="1" ref="C20" ca="1">_FV(B20,"Ticker symbol",TRUE)</f>
        <v>FEDERALBNK</v>
      </c>
      <c r="D20" s="50" cm="1">
        <f t="array" aca="1" ref="D20" ca="1">_FV(B20,"Price")</f>
        <v>287.75</v>
      </c>
      <c r="E20" s="20" cm="1">
        <f t="array" aca="1" ref="E20" ca="1">_FV(B20,"Shares outstanding",TRUE)/10000000</f>
        <v>246.28129999999999</v>
      </c>
      <c r="F20" s="20"/>
      <c r="G20" s="51" cm="1">
        <f t="array" aca="1" ref="G20" ca="1">_FV(B20,"Market cap",TRUE)/10000000</f>
        <v>61385.75</v>
      </c>
      <c r="H20" s="56" t="str">
        <f t="shared" ca="1" si="0"/>
        <v>Financials</v>
      </c>
      <c r="I20" s="53"/>
      <c r="J20" s="53"/>
      <c r="K20" s="53"/>
      <c r="L20" s="53"/>
      <c r="M20" s="53"/>
      <c r="N20" s="53"/>
      <c r="O20" s="53"/>
      <c r="P20" s="23"/>
      <c r="Q20" s="23"/>
      <c r="R20" s="23"/>
      <c r="S20" s="23"/>
      <c r="T20" s="23"/>
      <c r="U20" s="23"/>
      <c r="V20" s="23"/>
      <c r="W20" s="23"/>
      <c r="X20" s="22"/>
      <c r="Y20" s="22"/>
      <c r="Z20" s="22"/>
      <c r="AA20" s="22"/>
      <c r="AB20" s="22"/>
      <c r="AC20" s="22"/>
    </row>
    <row r="21" spans="2:29" ht="15.6" x14ac:dyDescent="0.3">
      <c r="B21" s="18" t="e" vm="12">
        <v>#VALUE!</v>
      </c>
      <c r="C21" t="str" cm="1">
        <f t="array" aca="1" ref="C21" ca="1">_FV(B21,"Ticker symbol",TRUE)</f>
        <v>IDFCFIRSTB</v>
      </c>
      <c r="D21" s="50" cm="1">
        <f t="array" aca="1" ref="D21" ca="1">_FV(B21,"Price")</f>
        <v>83.58</v>
      </c>
      <c r="E21" s="20" cm="1">
        <f t="array" aca="1" ref="E21" ca="1">_FV(B21,"Shares outstanding",TRUE)/10000000</f>
        <v>859.77449999999999</v>
      </c>
      <c r="F21" s="20"/>
      <c r="G21" s="51" cm="1">
        <f t="array" aca="1" ref="G21" ca="1">_FV(B21,"Market cap",TRUE)/10000000</f>
        <v>71317.84</v>
      </c>
      <c r="H21" s="56" t="str">
        <f t="shared" ca="1" si="0"/>
        <v>Financials</v>
      </c>
      <c r="I21" s="53"/>
      <c r="J21" s="53"/>
      <c r="K21" s="53"/>
      <c r="L21" s="53"/>
      <c r="M21" s="53"/>
      <c r="N21" s="53"/>
      <c r="O21" s="53"/>
      <c r="P21" s="23"/>
      <c r="Q21" s="23"/>
      <c r="R21" s="23"/>
      <c r="S21" s="23"/>
      <c r="T21" s="23"/>
      <c r="U21" s="23"/>
      <c r="V21" s="23"/>
      <c r="W21" s="23"/>
      <c r="X21" s="22"/>
      <c r="Y21" s="22"/>
      <c r="Z21" s="22"/>
      <c r="AA21" s="22"/>
      <c r="AB21" s="22"/>
      <c r="AC21" s="22"/>
    </row>
    <row r="22" spans="2:29" x14ac:dyDescent="0.3">
      <c r="C22" s="45"/>
      <c r="D22" s="19"/>
      <c r="E22" s="20"/>
      <c r="F22" s="20"/>
      <c r="G22" s="20"/>
      <c r="I22" s="20"/>
      <c r="J22" s="20"/>
      <c r="K22" s="20"/>
      <c r="L22" s="20"/>
      <c r="M22" s="20"/>
      <c r="N22" s="20"/>
      <c r="O22" s="20"/>
      <c r="P22" s="23"/>
      <c r="Q22" s="23"/>
      <c r="R22" s="23"/>
      <c r="S22" s="23"/>
      <c r="T22" s="23"/>
      <c r="U22" s="23"/>
      <c r="V22" s="23"/>
      <c r="W22" s="23"/>
      <c r="X22" s="22"/>
      <c r="Y22" s="22"/>
      <c r="Z22" s="22"/>
      <c r="AA22" s="22"/>
      <c r="AB22" s="22"/>
      <c r="AC22" s="22"/>
    </row>
    <row r="23" spans="2:29" ht="15.6" x14ac:dyDescent="0.3">
      <c r="B23" s="24" t="s">
        <v>21</v>
      </c>
      <c r="C23" s="25"/>
      <c r="D23" s="25"/>
      <c r="E23" s="25"/>
      <c r="F23" s="25"/>
      <c r="G23" s="25"/>
      <c r="H23" s="26"/>
      <c r="I23" s="26"/>
      <c r="J23" s="26"/>
      <c r="K23" s="26"/>
      <c r="L23" s="26"/>
      <c r="M23" s="26"/>
      <c r="N23" s="26"/>
      <c r="O23" s="26"/>
      <c r="P23" s="26"/>
      <c r="Q23" s="26" t="e">
        <f t="shared" ref="Q23:V23" si="7">AVERAGE(Q11:Q18)</f>
        <v>#DIV/0!</v>
      </c>
      <c r="R23" s="26" t="e">
        <f t="shared" si="7"/>
        <v>#DIV/0!</v>
      </c>
      <c r="S23" s="26" t="e">
        <f t="shared" si="7"/>
        <v>#DIV/0!</v>
      </c>
      <c r="T23" s="26" t="e">
        <f t="shared" si="7"/>
        <v>#DIV/0!</v>
      </c>
      <c r="U23" s="26" t="e">
        <f t="shared" si="7"/>
        <v>#DIV/0!</v>
      </c>
      <c r="V23" s="26" t="e">
        <f t="shared" si="7"/>
        <v>#DIV/0!</v>
      </c>
      <c r="W23" s="26"/>
      <c r="X23" s="27" t="e">
        <f t="shared" ref="X23:AC23" si="8">AVERAGE(X11:X18)</f>
        <v>#DIV/0!</v>
      </c>
      <c r="Y23" s="27" t="e">
        <f t="shared" si="8"/>
        <v>#DIV/0!</v>
      </c>
      <c r="Z23" s="27" t="e">
        <f t="shared" si="8"/>
        <v>#DIV/0!</v>
      </c>
      <c r="AA23" s="27" t="e">
        <f t="shared" si="8"/>
        <v>#DIV/0!</v>
      </c>
      <c r="AB23" s="27" t="e">
        <f t="shared" ca="1" si="8"/>
        <v>#DIV/0!</v>
      </c>
      <c r="AC23" s="28" t="e">
        <f t="shared" ca="1" si="8"/>
        <v>#DIV/0!</v>
      </c>
    </row>
    <row r="24" spans="2:29" ht="15.6" x14ac:dyDescent="0.3">
      <c r="B24" s="29" t="s">
        <v>22</v>
      </c>
      <c r="C24" s="30"/>
      <c r="D24" s="30"/>
      <c r="E24" s="30"/>
      <c r="F24" s="30"/>
      <c r="G24" s="30"/>
      <c r="H24" s="31"/>
      <c r="I24" s="31"/>
      <c r="J24" s="31"/>
      <c r="K24" s="31"/>
      <c r="L24" s="31"/>
      <c r="M24" s="31"/>
      <c r="N24" s="31"/>
      <c r="O24" s="31"/>
      <c r="P24" s="31"/>
      <c r="Q24" s="31" t="e">
        <f t="shared" ref="Q24:V24" si="9">MEDIAN(Q11:Q18)</f>
        <v>#DIV/0!</v>
      </c>
      <c r="R24" s="31" t="e">
        <f t="shared" si="9"/>
        <v>#DIV/0!</v>
      </c>
      <c r="S24" s="31" t="e">
        <f t="shared" si="9"/>
        <v>#DIV/0!</v>
      </c>
      <c r="T24" s="31" t="e">
        <f t="shared" si="9"/>
        <v>#DIV/0!</v>
      </c>
      <c r="U24" s="31" t="e">
        <f t="shared" si="9"/>
        <v>#DIV/0!</v>
      </c>
      <c r="V24" s="31" t="e">
        <f t="shared" si="9"/>
        <v>#DIV/0!</v>
      </c>
      <c r="W24" s="31"/>
      <c r="X24" s="32" t="e">
        <f t="shared" ref="X24:AC24" si="10">MEDIAN(X11:X18)</f>
        <v>#DIV/0!</v>
      </c>
      <c r="Y24" s="32" t="e">
        <f t="shared" si="10"/>
        <v>#DIV/0!</v>
      </c>
      <c r="Z24" s="32" t="e">
        <f t="shared" si="10"/>
        <v>#DIV/0!</v>
      </c>
      <c r="AA24" s="32" t="e">
        <f t="shared" si="10"/>
        <v>#DIV/0!</v>
      </c>
      <c r="AB24" s="32" t="e">
        <f t="shared" ca="1" si="10"/>
        <v>#DIV/0!</v>
      </c>
      <c r="AC24" s="33" t="e">
        <f t="shared" ca="1" si="10"/>
        <v>#DIV/0!</v>
      </c>
    </row>
    <row r="25" spans="2:29" ht="15.6" x14ac:dyDescent="0.3">
      <c r="B25" s="11"/>
      <c r="C25" s="11"/>
      <c r="D25" s="12"/>
      <c r="E25" s="12"/>
      <c r="F25" s="12"/>
      <c r="G25" s="12"/>
      <c r="I25" s="12"/>
      <c r="J25" s="12"/>
      <c r="K25" s="12"/>
      <c r="L25" s="12"/>
      <c r="M25" s="12"/>
      <c r="N25" s="12"/>
      <c r="O25" s="12"/>
      <c r="P25" s="12"/>
      <c r="Q25" s="13"/>
      <c r="R25" s="13"/>
      <c r="S25" s="13"/>
      <c r="T25" s="13"/>
      <c r="U25" s="13"/>
      <c r="V25" s="13"/>
      <c r="W25" s="13"/>
      <c r="X25" s="13"/>
      <c r="Y25" s="13"/>
      <c r="Z25" s="13"/>
      <c r="AA25" s="13"/>
      <c r="AB25" s="13"/>
      <c r="AC25" s="13"/>
    </row>
    <row r="26" spans="2:29" ht="17.399999999999999" x14ac:dyDescent="0.3">
      <c r="B26" s="4"/>
      <c r="C26" s="4"/>
      <c r="D26" s="7" t="s">
        <v>23</v>
      </c>
      <c r="E26" s="7"/>
      <c r="F26" s="7"/>
      <c r="G26" s="6"/>
      <c r="H26" s="7" t="s">
        <v>24</v>
      </c>
      <c r="I26" s="7"/>
      <c r="J26" s="7"/>
      <c r="K26" s="6"/>
      <c r="L26" s="7" t="s">
        <v>25</v>
      </c>
      <c r="M26" s="7"/>
      <c r="N26" s="7"/>
      <c r="O26" s="6"/>
      <c r="P26" s="6"/>
      <c r="Q26" s="7"/>
      <c r="R26" s="7"/>
      <c r="S26" s="7"/>
      <c r="T26" s="7" t="s">
        <v>26</v>
      </c>
      <c r="U26" s="7"/>
      <c r="V26" s="7"/>
      <c r="W26" s="6"/>
      <c r="X26" s="7" t="s">
        <v>27</v>
      </c>
      <c r="Y26" s="7"/>
      <c r="Z26" s="7"/>
      <c r="AA26" s="6"/>
      <c r="AB26" s="6"/>
      <c r="AC26" s="6"/>
    </row>
    <row r="27" spans="2:29" ht="15.6" x14ac:dyDescent="0.3">
      <c r="B27" s="8" t="s">
        <v>28</v>
      </c>
      <c r="C27" s="8"/>
      <c r="D27" s="9" t="s">
        <v>6</v>
      </c>
      <c r="E27" s="9" t="s">
        <v>7</v>
      </c>
      <c r="F27" s="9" t="s">
        <v>29</v>
      </c>
      <c r="G27" s="9"/>
      <c r="H27" s="9" t="s">
        <v>6</v>
      </c>
      <c r="I27" s="9" t="s">
        <v>7</v>
      </c>
      <c r="J27" s="9" t="s">
        <v>30</v>
      </c>
      <c r="K27" s="9"/>
      <c r="L27" s="9" t="s">
        <v>6</v>
      </c>
      <c r="M27" s="9" t="s">
        <v>7</v>
      </c>
      <c r="N27" s="9" t="s">
        <v>8</v>
      </c>
      <c r="O27" s="9"/>
      <c r="P27" s="9" t="s">
        <v>31</v>
      </c>
      <c r="Q27" s="9" t="s">
        <v>32</v>
      </c>
      <c r="R27" s="9" t="s">
        <v>33</v>
      </c>
      <c r="S27" s="9"/>
      <c r="T27" s="9" t="s">
        <v>6</v>
      </c>
      <c r="U27" s="9" t="s">
        <v>7</v>
      </c>
      <c r="V27" s="9" t="s">
        <v>8</v>
      </c>
      <c r="W27" s="9"/>
      <c r="X27" s="9" t="s">
        <v>6</v>
      </c>
      <c r="Y27" s="9" t="s">
        <v>7</v>
      </c>
      <c r="Z27" s="9" t="s">
        <v>8</v>
      </c>
      <c r="AA27" s="9"/>
      <c r="AB27" s="9"/>
      <c r="AC27" s="9"/>
    </row>
    <row r="28" spans="2:29" ht="15.6" x14ac:dyDescent="0.3">
      <c r="B28" s="11" t="s">
        <v>34</v>
      </c>
      <c r="C28" s="11"/>
      <c r="D28" s="34" t="e">
        <f>MIN(Y11:Y18)</f>
        <v>#DIV/0!</v>
      </c>
      <c r="E28" s="34" t="e">
        <f>MIN(AA11:AA18)</f>
        <v>#DIV/0!</v>
      </c>
      <c r="F28" s="34" t="e">
        <f ca="1">MIN(AC11:AC18)</f>
        <v>#DIV/0!</v>
      </c>
      <c r="G28" s="12"/>
      <c r="H28" s="20">
        <f>K9</f>
        <v>350845</v>
      </c>
      <c r="I28" s="20">
        <f>M9</f>
        <v>135923.75</v>
      </c>
      <c r="J28" s="35">
        <v>3.55</v>
      </c>
      <c r="L28" s="20" t="e">
        <f>D28*H28</f>
        <v>#DIV/0!</v>
      </c>
      <c r="M28" s="20" t="e">
        <f>E28*I28</f>
        <v>#DIV/0!</v>
      </c>
      <c r="N28" s="20" t="s">
        <v>35</v>
      </c>
      <c r="P28" s="36">
        <v>51511</v>
      </c>
      <c r="Q28" s="36">
        <v>119981</v>
      </c>
      <c r="R28" s="37">
        <v>16403.315999999999</v>
      </c>
      <c r="S28" s="38"/>
      <c r="T28" s="39" t="e">
        <f>L28+P28-Q28</f>
        <v>#DIV/0!</v>
      </c>
      <c r="U28" s="39" t="e">
        <f t="shared" ref="U28:U31" si="11">M28+Q28-R28</f>
        <v>#DIV/0!</v>
      </c>
      <c r="V28" s="39" t="e">
        <f ca="1">J28*R28*F28</f>
        <v>#DIV/0!</v>
      </c>
      <c r="W28" s="13"/>
      <c r="X28" s="40" t="e">
        <f>T28/$R28</f>
        <v>#DIV/0!</v>
      </c>
      <c r="Y28" s="40" t="e">
        <f t="shared" ref="Y28:Z31" si="12">U28/$R28</f>
        <v>#DIV/0!</v>
      </c>
      <c r="Z28" s="40" t="e">
        <f t="shared" ca="1" si="12"/>
        <v>#DIV/0!</v>
      </c>
      <c r="AB28" s="13"/>
      <c r="AC28" s="13"/>
    </row>
    <row r="29" spans="2:29" ht="15.6" x14ac:dyDescent="0.3">
      <c r="B29" s="11" t="s">
        <v>21</v>
      </c>
      <c r="C29" s="11"/>
      <c r="D29" s="34" t="e">
        <f>Y23</f>
        <v>#DIV/0!</v>
      </c>
      <c r="E29" s="34" t="e">
        <f>AA23</f>
        <v>#DIV/0!</v>
      </c>
      <c r="F29" s="34" t="e">
        <f ca="1">AC23</f>
        <v>#DIV/0!</v>
      </c>
      <c r="G29" s="12"/>
      <c r="H29" s="41">
        <f>H28</f>
        <v>350845</v>
      </c>
      <c r="I29" s="41">
        <f t="shared" ref="I29:I31" si="13">I28</f>
        <v>135923.75</v>
      </c>
      <c r="J29" s="35">
        <v>3.55</v>
      </c>
      <c r="K29" s="20"/>
      <c r="L29" s="20" t="e">
        <f t="shared" ref="L29:M31" si="14">D29*H29</f>
        <v>#DIV/0!</v>
      </c>
      <c r="M29" s="20" t="e">
        <f t="shared" si="14"/>
        <v>#DIV/0!</v>
      </c>
      <c r="N29" s="20" t="s">
        <v>35</v>
      </c>
      <c r="P29" s="36">
        <v>51511</v>
      </c>
      <c r="Q29" s="36">
        <v>119981</v>
      </c>
      <c r="R29" s="37">
        <v>16403.315999999999</v>
      </c>
      <c r="T29" s="39" t="e">
        <f t="shared" ref="T29:T31" si="15">L29+P29-Q29</f>
        <v>#DIV/0!</v>
      </c>
      <c r="U29" s="39" t="e">
        <f t="shared" si="11"/>
        <v>#DIV/0!</v>
      </c>
      <c r="V29" s="39" t="e">
        <f t="shared" ref="V29:V31" ca="1" si="16">J29*R29*F29</f>
        <v>#DIV/0!</v>
      </c>
      <c r="W29" s="13"/>
      <c r="X29" s="40" t="e">
        <f t="shared" ref="X29:X31" si="17">T29/$R29</f>
        <v>#DIV/0!</v>
      </c>
      <c r="Y29" s="40" t="e">
        <f t="shared" si="12"/>
        <v>#DIV/0!</v>
      </c>
      <c r="Z29" s="40" t="e">
        <f t="shared" ca="1" si="12"/>
        <v>#DIV/0!</v>
      </c>
      <c r="AA29" s="13"/>
      <c r="AB29" s="13"/>
      <c r="AC29" s="13"/>
    </row>
    <row r="30" spans="2:29" ht="15.6" x14ac:dyDescent="0.3">
      <c r="B30" s="11" t="s">
        <v>22</v>
      </c>
      <c r="C30" s="11"/>
      <c r="D30" s="34" t="e">
        <f t="shared" ref="D30" si="18">Y24</f>
        <v>#DIV/0!</v>
      </c>
      <c r="E30" s="34" t="e">
        <f t="shared" ref="E30" si="19">AA24</f>
        <v>#DIV/0!</v>
      </c>
      <c r="F30" s="34" t="e">
        <f t="shared" ref="F30" ca="1" si="20">AC24</f>
        <v>#DIV/0!</v>
      </c>
      <c r="G30" s="12"/>
      <c r="H30" s="41">
        <f t="shared" ref="H30:H31" si="21">H29</f>
        <v>350845</v>
      </c>
      <c r="I30" s="41">
        <f t="shared" si="13"/>
        <v>135923.75</v>
      </c>
      <c r="J30" s="35">
        <v>3.55</v>
      </c>
      <c r="K30" s="20"/>
      <c r="L30" s="20" t="e">
        <f t="shared" si="14"/>
        <v>#DIV/0!</v>
      </c>
      <c r="M30" s="20" t="e">
        <f t="shared" si="14"/>
        <v>#DIV/0!</v>
      </c>
      <c r="N30" s="20" t="s">
        <v>35</v>
      </c>
      <c r="P30" s="36">
        <v>51511</v>
      </c>
      <c r="Q30" s="36">
        <v>119981</v>
      </c>
      <c r="R30" s="37">
        <v>16403.315999999999</v>
      </c>
      <c r="T30" s="39" t="e">
        <f t="shared" si="15"/>
        <v>#DIV/0!</v>
      </c>
      <c r="U30" s="39" t="e">
        <f t="shared" si="11"/>
        <v>#DIV/0!</v>
      </c>
      <c r="V30" s="39" t="e">
        <f t="shared" ca="1" si="16"/>
        <v>#DIV/0!</v>
      </c>
      <c r="W30" s="13"/>
      <c r="X30" s="40" t="e">
        <f t="shared" si="17"/>
        <v>#DIV/0!</v>
      </c>
      <c r="Y30" s="40" t="e">
        <f t="shared" si="12"/>
        <v>#DIV/0!</v>
      </c>
      <c r="Z30" s="40" t="e">
        <f t="shared" ca="1" si="12"/>
        <v>#DIV/0!</v>
      </c>
      <c r="AA30" s="13"/>
      <c r="AB30" s="13"/>
      <c r="AC30" s="13"/>
    </row>
    <row r="31" spans="2:29" ht="15.6" x14ac:dyDescent="0.3">
      <c r="B31" s="11" t="s">
        <v>36</v>
      </c>
      <c r="C31" s="11"/>
      <c r="D31" s="34" t="e">
        <f>MAX(Y11:Y18)</f>
        <v>#DIV/0!</v>
      </c>
      <c r="E31" s="34" t="e">
        <f>MAX(AA11:AA18)</f>
        <v>#DIV/0!</v>
      </c>
      <c r="F31" s="34" t="e">
        <f ca="1">MAX(AC11:AC18)</f>
        <v>#DIV/0!</v>
      </c>
      <c r="G31" s="12"/>
      <c r="H31" s="41">
        <f t="shared" si="21"/>
        <v>350845</v>
      </c>
      <c r="I31" s="41">
        <f t="shared" si="13"/>
        <v>135923.75</v>
      </c>
      <c r="J31" s="35">
        <v>3.55</v>
      </c>
      <c r="K31" s="20"/>
      <c r="L31" s="20" t="e">
        <f t="shared" si="14"/>
        <v>#DIV/0!</v>
      </c>
      <c r="M31" s="20" t="e">
        <f t="shared" si="14"/>
        <v>#DIV/0!</v>
      </c>
      <c r="N31" s="20" t="s">
        <v>35</v>
      </c>
      <c r="P31" s="36">
        <v>51511</v>
      </c>
      <c r="Q31" s="36">
        <v>119981</v>
      </c>
      <c r="R31" s="37">
        <v>16403.315999999999</v>
      </c>
      <c r="T31" s="39" t="e">
        <f t="shared" si="15"/>
        <v>#DIV/0!</v>
      </c>
      <c r="U31" s="39" t="e">
        <f t="shared" si="11"/>
        <v>#DIV/0!</v>
      </c>
      <c r="V31" s="39" t="e">
        <f t="shared" ca="1" si="16"/>
        <v>#DIV/0!</v>
      </c>
      <c r="W31" s="13"/>
      <c r="X31" s="40" t="e">
        <f t="shared" si="17"/>
        <v>#DIV/0!</v>
      </c>
      <c r="Y31" s="40" t="e">
        <f t="shared" si="12"/>
        <v>#DIV/0!</v>
      </c>
      <c r="Z31" s="40" t="e">
        <f t="shared" ca="1" si="12"/>
        <v>#DIV/0!</v>
      </c>
      <c r="AA31" s="13"/>
      <c r="AB31" s="13"/>
      <c r="AC31" s="13"/>
    </row>
    <row r="32" spans="2:29" ht="15.6" x14ac:dyDescent="0.3">
      <c r="B32" s="11"/>
      <c r="C32" s="11"/>
      <c r="D32" s="34"/>
      <c r="E32" s="34"/>
      <c r="F32" s="34"/>
      <c r="G32" s="12"/>
      <c r="H32" s="19"/>
      <c r="I32" s="20"/>
      <c r="J32" s="20"/>
      <c r="K32" s="20"/>
      <c r="L32" s="20"/>
      <c r="M32" s="20"/>
      <c r="N32" s="20"/>
      <c r="P32" s="20"/>
      <c r="Q32" s="20"/>
      <c r="R32" s="42"/>
      <c r="U32" s="13"/>
      <c r="V32" s="13"/>
      <c r="W32" s="13"/>
      <c r="X32" s="13"/>
      <c r="Y32" s="13"/>
      <c r="Z32" s="13"/>
      <c r="AA32" s="13"/>
      <c r="AB32" s="13"/>
      <c r="AC32" s="13"/>
    </row>
  </sheetData>
  <conditionalFormatting sqref="H9:H21">
    <cfRule type="colorScale" priority="150">
      <colorScale>
        <cfvo type="min"/>
        <cfvo type="percentile" val="50"/>
        <cfvo type="max"/>
        <color rgb="FFF8696B"/>
        <color rgb="FFFFEB84"/>
        <color rgb="FF63BE7B"/>
      </colorScale>
    </cfRule>
    <cfRule type="colorScale" priority="151">
      <colorScale>
        <cfvo type="min"/>
        <cfvo type="percentile" val="50"/>
        <cfvo type="max"/>
        <color rgb="FF63BE7B"/>
        <color rgb="FFFFEB84"/>
        <color rgb="FFF8696B"/>
      </colorScale>
    </cfRule>
  </conditionalFormatting>
  <conditionalFormatting sqref="P11:P16 P18:P22">
    <cfRule type="colorScale" priority="185">
      <colorScale>
        <cfvo type="min"/>
        <cfvo type="percentile" val="50"/>
        <cfvo type="max"/>
        <color rgb="FFF8696B"/>
        <color rgb="FFFFEB84"/>
        <color rgb="FF63BE7B"/>
      </colorScale>
    </cfRule>
    <cfRule type="colorScale" priority="186">
      <colorScale>
        <cfvo type="min"/>
        <cfvo type="percentile" val="50"/>
        <cfvo type="max"/>
        <color rgb="FF63BE7B"/>
        <color rgb="FFFFEB84"/>
        <color rgb="FFF8696B"/>
      </colorScale>
    </cfRule>
  </conditionalFormatting>
  <conditionalFormatting sqref="P17">
    <cfRule type="colorScale" priority="154">
      <colorScale>
        <cfvo type="min"/>
        <cfvo type="percentile" val="50"/>
        <cfvo type="max"/>
        <color rgb="FFF8696B"/>
        <color rgb="FFFFEB84"/>
        <color rgb="FF63BE7B"/>
      </colorScale>
    </cfRule>
    <cfRule type="colorScale" priority="155">
      <colorScale>
        <cfvo type="min"/>
        <cfvo type="percentile" val="50"/>
        <cfvo type="max"/>
        <color rgb="FF63BE7B"/>
        <color rgb="FFFFEB84"/>
        <color rgb="FFF8696B"/>
      </colorScale>
    </cfRule>
  </conditionalFormatting>
  <conditionalFormatting sqref="Q9:Q22">
    <cfRule type="colorScale" priority="189">
      <colorScale>
        <cfvo type="min"/>
        <cfvo type="percentile" val="50"/>
        <cfvo type="max"/>
        <color rgb="FFF8696B"/>
        <color rgb="FFFFEB84"/>
        <color rgb="FF63BE7B"/>
      </colorScale>
    </cfRule>
  </conditionalFormatting>
  <conditionalFormatting sqref="R9:R22">
    <cfRule type="colorScale" priority="190">
      <colorScale>
        <cfvo type="min"/>
        <cfvo type="percentile" val="50"/>
        <cfvo type="max"/>
        <color rgb="FFF8696B"/>
        <color rgb="FFFFEB84"/>
        <color rgb="FF63BE7B"/>
      </colorScale>
    </cfRule>
  </conditionalFormatting>
  <conditionalFormatting sqref="S9:S22">
    <cfRule type="colorScale" priority="191">
      <colorScale>
        <cfvo type="min"/>
        <cfvo type="percentile" val="50"/>
        <cfvo type="max"/>
        <color rgb="FFF8696B"/>
        <color rgb="FFFFEB84"/>
        <color rgb="FF63BE7B"/>
      </colorScale>
    </cfRule>
  </conditionalFormatting>
  <conditionalFormatting sqref="T9:T22">
    <cfRule type="colorScale" priority="192">
      <colorScale>
        <cfvo type="min"/>
        <cfvo type="percentile" val="50"/>
        <cfvo type="max"/>
        <color rgb="FFF8696B"/>
        <color rgb="FFFFEB84"/>
        <color rgb="FF63BE7B"/>
      </colorScale>
    </cfRule>
  </conditionalFormatting>
  <conditionalFormatting sqref="U9:U22">
    <cfRule type="colorScale" priority="193">
      <colorScale>
        <cfvo type="min"/>
        <cfvo type="percentile" val="50"/>
        <cfvo type="max"/>
        <color rgb="FFF8696B"/>
        <color rgb="FFFFEB84"/>
        <color rgb="FF63BE7B"/>
      </colorScale>
    </cfRule>
  </conditionalFormatting>
  <conditionalFormatting sqref="V9:V22">
    <cfRule type="colorScale" priority="194">
      <colorScale>
        <cfvo type="min"/>
        <cfvo type="percentile" val="50"/>
        <cfvo type="max"/>
        <color rgb="FFF8696B"/>
        <color rgb="FFFFEB84"/>
        <color rgb="FF63BE7B"/>
      </colorScale>
    </cfRule>
  </conditionalFormatting>
  <conditionalFormatting sqref="X9:X22">
    <cfRule type="colorScale" priority="195">
      <colorScale>
        <cfvo type="min"/>
        <cfvo type="percentile" val="50"/>
        <cfvo type="max"/>
        <color rgb="FF63BE7B"/>
        <color rgb="FFFFEB84"/>
        <color rgb="FFF8696B"/>
      </colorScale>
    </cfRule>
  </conditionalFormatting>
  <conditionalFormatting sqref="Y9:Y22">
    <cfRule type="colorScale" priority="196">
      <colorScale>
        <cfvo type="min"/>
        <cfvo type="percentile" val="50"/>
        <cfvo type="max"/>
        <color rgb="FF63BE7B"/>
        <color rgb="FFFFEB84"/>
        <color rgb="FFF8696B"/>
      </colorScale>
    </cfRule>
  </conditionalFormatting>
  <conditionalFormatting sqref="Z9:Z22">
    <cfRule type="colorScale" priority="197">
      <colorScale>
        <cfvo type="min"/>
        <cfvo type="percentile" val="50"/>
        <cfvo type="max"/>
        <color rgb="FF63BE7B"/>
        <color rgb="FFFFEB84"/>
        <color rgb="FFF8696B"/>
      </colorScale>
    </cfRule>
  </conditionalFormatting>
  <conditionalFormatting sqref="AA9:AA22">
    <cfRule type="colorScale" priority="198">
      <colorScale>
        <cfvo type="min"/>
        <cfvo type="percentile" val="50"/>
        <cfvo type="max"/>
        <color rgb="FF63BE7B"/>
        <color rgb="FFFFEB84"/>
        <color rgb="FFF8696B"/>
      </colorScale>
    </cfRule>
  </conditionalFormatting>
  <conditionalFormatting sqref="AB9:AB22">
    <cfRule type="colorScale" priority="199">
      <colorScale>
        <cfvo type="min"/>
        <cfvo type="percentile" val="50"/>
        <cfvo type="max"/>
        <color rgb="FF63BE7B"/>
        <color rgb="FFFFEB84"/>
        <color rgb="FFF8696B"/>
      </colorScale>
    </cfRule>
  </conditionalFormatting>
  <conditionalFormatting sqref="AC9:AC22">
    <cfRule type="colorScale" priority="200">
      <colorScale>
        <cfvo type="min"/>
        <cfvo type="percentile" val="50"/>
        <cfvo type="max"/>
        <color rgb="FF63BE7B"/>
        <color rgb="FFFFEB84"/>
        <color rgb="FFF8696B"/>
      </colorScale>
    </cfRule>
  </conditionalFormatting>
  <hyperlinks>
    <hyperlink ref="H2" r:id="rId1" xr:uid="{33366A10-69D2-4452-9078-0C80CF17F718}"/>
    <hyperlink ref="J1" r:id="rId2" xr:uid="{D612F67E-B89C-491F-B7E2-41E5DB9EABA1}"/>
  </hyperlinks>
  <pageMargins left="0.7" right="0.7" top="0.75" bottom="0.75" header="0.3" footer="0.3"/>
  <pageSetup paperSize="9" orientation="portrait"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72713EE-4823-4C06-AC81-1202C421B4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Trading Comps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e14</dc:creator>
  <cp:lastModifiedBy>Shivam Raj</cp:lastModifiedBy>
  <dcterms:created xsi:type="dcterms:W3CDTF">2026-01-04T13:32:22Z</dcterms:created>
  <dcterms:modified xsi:type="dcterms:W3CDTF">2026-01-31T19:55:51Z</dcterms:modified>
</cp:coreProperties>
</file>