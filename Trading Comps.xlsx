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er\Desktop\Models\Valuation\"/>
    </mc:Choice>
  </mc:AlternateContent>
  <xr:revisionPtr revIDLastSave="0" documentId="13_ncr:1_{85254AD7-262A-4849-9CCE-699F914A1B98}" xr6:coauthVersionLast="47" xr6:coauthVersionMax="47" xr10:uidLastSave="{00000000-0000-0000-0000-000000000000}"/>
  <bookViews>
    <workbookView xWindow="-108" yWindow="-108" windowWidth="23256" windowHeight="12456" xr2:uid="{7F462D15-BDFB-437F-852A-ECACE2383642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7" i="1" l="1"/>
  <c r="X7" i="1"/>
  <c r="S7" i="1"/>
  <c r="U7" i="1" s="1"/>
  <c r="R7" i="1"/>
  <c r="Q7" i="1"/>
  <c r="L7" i="1"/>
  <c r="N7" i="1" s="1"/>
  <c r="K7" i="1"/>
  <c r="M7" i="1" s="1"/>
  <c r="O7" i="1" s="1"/>
  <c r="J7" i="1"/>
  <c r="Z7" i="1" s="1"/>
  <c r="E2" i="1"/>
  <c r="T7" i="1" l="1"/>
  <c r="V7" i="1" s="1"/>
  <c r="Y7" i="1"/>
  <c r="AA7" i="1"/>
  <c r="AC7" i="1"/>
  <c r="Q13" i="1"/>
  <c r="Q17" i="1"/>
  <c r="Q16" i="1" l="1"/>
  <c r="X16" i="1"/>
  <c r="Q15" i="1"/>
  <c r="X15" i="1"/>
  <c r="Q11" i="1"/>
  <c r="X11" i="1"/>
  <c r="Q12" i="1"/>
  <c r="X12" i="1"/>
  <c r="R13" i="1"/>
  <c r="R17" i="1"/>
  <c r="Q9" i="1"/>
  <c r="X9" i="1"/>
  <c r="Q14" i="1"/>
  <c r="X14" i="1"/>
  <c r="Q18" i="1"/>
  <c r="X18" i="1"/>
  <c r="R14" i="1" l="1"/>
  <c r="Y14" i="1"/>
  <c r="R11" i="1"/>
  <c r="Y11" i="1"/>
  <c r="R12" i="1"/>
  <c r="Y12" i="1"/>
  <c r="Q20" i="1"/>
  <c r="Q21" i="1"/>
  <c r="X20" i="1"/>
  <c r="X21" i="1"/>
  <c r="R15" i="1"/>
  <c r="Y15" i="1"/>
  <c r="S13" i="1"/>
  <c r="S17" i="1"/>
  <c r="R9" i="1"/>
  <c r="H25" i="1"/>
  <c r="H26" i="1" s="1"/>
  <c r="H27" i="1" s="1"/>
  <c r="H28" i="1" s="1"/>
  <c r="Y9" i="1"/>
  <c r="R16" i="1"/>
  <c r="Y16" i="1"/>
  <c r="R18" i="1"/>
  <c r="Y18" i="1"/>
  <c r="S15" i="1" l="1"/>
  <c r="Z15" i="1"/>
  <c r="S14" i="1"/>
  <c r="Z14" i="1"/>
  <c r="D25" i="1"/>
  <c r="L25" i="1" s="1"/>
  <c r="T25" i="1" s="1"/>
  <c r="X25" i="1" s="1"/>
  <c r="Y20" i="1"/>
  <c r="D26" i="1" s="1"/>
  <c r="L26" i="1" s="1"/>
  <c r="T26" i="1" s="1"/>
  <c r="X26" i="1" s="1"/>
  <c r="Y21" i="1"/>
  <c r="D27" i="1" s="1"/>
  <c r="L27" i="1" s="1"/>
  <c r="T27" i="1" s="1"/>
  <c r="X27" i="1" s="1"/>
  <c r="D28" i="1"/>
  <c r="L28" i="1" s="1"/>
  <c r="T28" i="1" s="1"/>
  <c r="X28" i="1" s="1"/>
  <c r="S16" i="1"/>
  <c r="Z16" i="1"/>
  <c r="S11" i="1"/>
  <c r="Z11" i="1"/>
  <c r="T17" i="1"/>
  <c r="T13" i="1"/>
  <c r="S18" i="1"/>
  <c r="Z18" i="1"/>
  <c r="S12" i="1"/>
  <c r="Z12" i="1"/>
  <c r="R20" i="1"/>
  <c r="R21" i="1"/>
  <c r="S9" i="1"/>
  <c r="Z9" i="1"/>
  <c r="T15" i="1" l="1"/>
  <c r="AA15" i="1"/>
  <c r="T18" i="1"/>
  <c r="AA18" i="1"/>
  <c r="T16" i="1"/>
  <c r="AA16" i="1"/>
  <c r="T11" i="1"/>
  <c r="AA11" i="1"/>
  <c r="U17" i="1"/>
  <c r="U13" i="1"/>
  <c r="T14" i="1"/>
  <c r="AA14" i="1"/>
  <c r="Z20" i="1"/>
  <c r="Z21" i="1"/>
  <c r="T12" i="1"/>
  <c r="AA12" i="1"/>
  <c r="S21" i="1"/>
  <c r="S20" i="1"/>
  <c r="T9" i="1"/>
  <c r="I25" i="1"/>
  <c r="I26" i="1" s="1"/>
  <c r="I27" i="1" s="1"/>
  <c r="I28" i="1" s="1"/>
  <c r="AA9" i="1"/>
  <c r="V17" i="1" l="1"/>
  <c r="V13" i="1"/>
  <c r="U18" i="1"/>
  <c r="AB18" i="1"/>
  <c r="U12" i="1"/>
  <c r="AB12" i="1"/>
  <c r="T20" i="1"/>
  <c r="T21" i="1"/>
  <c r="U16" i="1"/>
  <c r="AB16" i="1"/>
  <c r="E28" i="1"/>
  <c r="M28" i="1" s="1"/>
  <c r="U28" i="1" s="1"/>
  <c r="Y28" i="1" s="1"/>
  <c r="AA20" i="1"/>
  <c r="E26" i="1" s="1"/>
  <c r="M26" i="1" s="1"/>
  <c r="U26" i="1" s="1"/>
  <c r="Y26" i="1" s="1"/>
  <c r="E25" i="1"/>
  <c r="M25" i="1" s="1"/>
  <c r="U25" i="1" s="1"/>
  <c r="Y25" i="1" s="1"/>
  <c r="AA21" i="1"/>
  <c r="E27" i="1" s="1"/>
  <c r="M27" i="1" s="1"/>
  <c r="U27" i="1" s="1"/>
  <c r="Y27" i="1" s="1"/>
  <c r="U9" i="1"/>
  <c r="AB9" i="1"/>
  <c r="U15" i="1"/>
  <c r="AB15" i="1"/>
  <c r="U11" i="1"/>
  <c r="AB11" i="1"/>
  <c r="U14" i="1"/>
  <c r="AB14" i="1"/>
  <c r="V9" i="1" l="1"/>
  <c r="AC9" i="1"/>
  <c r="V15" i="1"/>
  <c r="AC15" i="1"/>
  <c r="V16" i="1"/>
  <c r="AC16" i="1"/>
  <c r="AB20" i="1"/>
  <c r="AB21" i="1"/>
  <c r="U21" i="1"/>
  <c r="U20" i="1"/>
  <c r="V14" i="1"/>
  <c r="AC14" i="1"/>
  <c r="V18" i="1"/>
  <c r="AC18" i="1"/>
  <c r="V12" i="1"/>
  <c r="AC12" i="1"/>
  <c r="V11" i="1"/>
  <c r="AC11" i="1"/>
  <c r="F28" i="1" l="1"/>
  <c r="V28" i="1" s="1"/>
  <c r="Z28" i="1" s="1"/>
  <c r="AC20" i="1"/>
  <c r="F26" i="1" s="1"/>
  <c r="V26" i="1" s="1"/>
  <c r="Z26" i="1" s="1"/>
  <c r="F25" i="1"/>
  <c r="V25" i="1" s="1"/>
  <c r="Z25" i="1" s="1"/>
  <c r="AC21" i="1"/>
  <c r="F27" i="1" s="1"/>
  <c r="V27" i="1" s="1"/>
  <c r="Z27" i="1" s="1"/>
  <c r="V21" i="1"/>
  <c r="V20" i="1"/>
</calcChain>
</file>

<file path=xl/sharedStrings.xml><?xml version="1.0" encoding="utf-8"?>
<sst xmlns="http://schemas.openxmlformats.org/spreadsheetml/2006/main" count="330" uniqueCount="263">
  <si>
    <t>Date</t>
  </si>
  <si>
    <t>Trading Multiples</t>
  </si>
  <si>
    <t>Current</t>
  </si>
  <si>
    <t>Share</t>
  </si>
  <si>
    <t>Enterprise</t>
  </si>
  <si>
    <t>Market</t>
  </si>
  <si>
    <t>Revenue</t>
  </si>
  <si>
    <t>EBITDA</t>
  </si>
  <si>
    <t>Net Income</t>
  </si>
  <si>
    <t>Revenue Growth</t>
  </si>
  <si>
    <t>EBITDA Margin</t>
  </si>
  <si>
    <t>Profit Margin</t>
  </si>
  <si>
    <t>EV / Revenue</t>
  </si>
  <si>
    <t>EV / EBITDA</t>
  </si>
  <si>
    <t>P / E</t>
  </si>
  <si>
    <t>Ticker</t>
  </si>
  <si>
    <t>Company Name</t>
  </si>
  <si>
    <t>Price</t>
  </si>
  <si>
    <t>Count</t>
  </si>
  <si>
    <t>Value</t>
  </si>
  <si>
    <t>Cap</t>
  </si>
  <si>
    <t>Mean</t>
  </si>
  <si>
    <t>Median</t>
  </si>
  <si>
    <t>2023 Trading Multiple</t>
  </si>
  <si>
    <t>2023 Financial Metric</t>
  </si>
  <si>
    <t>Enterprise Value</t>
  </si>
  <si>
    <t>Equity Value</t>
  </si>
  <si>
    <t>Implied Share Price</t>
  </si>
  <si>
    <t>Calculating Implied Share Price</t>
  </si>
  <si>
    <t>P/E</t>
  </si>
  <si>
    <t>EPS</t>
  </si>
  <si>
    <t>Cash</t>
  </si>
  <si>
    <t>Debt</t>
  </si>
  <si>
    <t>Shares</t>
  </si>
  <si>
    <t>Minimum</t>
  </si>
  <si>
    <t>--</t>
  </si>
  <si>
    <t>Maximum</t>
  </si>
  <si>
    <t>Trading Comparables</t>
  </si>
  <si>
    <t>Company</t>
  </si>
  <si>
    <t>NSE Ticker</t>
  </si>
  <si>
    <t>Reliance Industries</t>
  </si>
  <si>
    <t>RELIANCE.NS</t>
  </si>
  <si>
    <t>HDFC Bank</t>
  </si>
  <si>
    <t>HDFCBANK.NS</t>
  </si>
  <si>
    <t>Infosys</t>
  </si>
  <si>
    <t>INFY.NS</t>
  </si>
  <si>
    <t>ICICI Bank</t>
  </si>
  <si>
    <t>ICICIBANK.NS</t>
  </si>
  <si>
    <t>TCS.NS</t>
  </si>
  <si>
    <t>Bharti Airtel</t>
  </si>
  <si>
    <t>BHARTIARTL.NS</t>
  </si>
  <si>
    <t>ITC</t>
  </si>
  <si>
    <t>ITC.NS</t>
  </si>
  <si>
    <t>LT.NS</t>
  </si>
  <si>
    <t>Axis Bank</t>
  </si>
  <si>
    <t>AXISBANK.NS</t>
  </si>
  <si>
    <t>BANKING SECTOR</t>
  </si>
  <si>
    <t>Market Cap Range</t>
  </si>
  <si>
    <t>Key Characteristic</t>
  </si>
  <si>
    <t>Large Cap</t>
  </si>
  <si>
    <t>Highest premium, best CASA</t>
  </si>
  <si>
    <t>Strong retail focus</t>
  </si>
  <si>
    <t>State Bank of India</t>
  </si>
  <si>
    <t>SBIN.NS</t>
  </si>
  <si>
    <t>Public sector leader</t>
  </si>
  <si>
    <t>Private sector #3</t>
  </si>
  <si>
    <t>Kotak Mahindra Bank</t>
  </si>
  <si>
    <t>KOTAKBANK.NS</t>
  </si>
  <si>
    <t>High RoE, conservative</t>
  </si>
  <si>
    <t>IndusInd Bank</t>
  </si>
  <si>
    <t>INDUSINDBK.NS</t>
  </si>
  <si>
    <t>Niche segments</t>
  </si>
  <si>
    <t>INFORMATION TECHNOLOGY (IT) SERVICES</t>
  </si>
  <si>
    <t>Tata Consultancy Services</t>
  </si>
  <si>
    <t>Market leader, stable</t>
  </si>
  <si>
    <t>Strong digital focus</t>
  </si>
  <si>
    <t>HCL Technologies</t>
  </si>
  <si>
    <t>HCLTECH.NS</t>
  </si>
  <si>
    <t>Engineering services</t>
  </si>
  <si>
    <t>Wipro</t>
  </si>
  <si>
    <t>WIPRO.NS</t>
  </si>
  <si>
    <t>Turnaround story</t>
  </si>
  <si>
    <t>Tech Mahindra</t>
  </si>
  <si>
    <t>TECHM.NS</t>
  </si>
  <si>
    <t>Telecom specialist</t>
  </si>
  <si>
    <t>LTIMindtree</t>
  </si>
  <si>
    <t>LTIM.NS</t>
  </si>
  <si>
    <t>Mid Cap</t>
  </si>
  <si>
    <t>Fast growth, M&amp;A story</t>
  </si>
  <si>
    <t>AUTOMOBILES &amp; AUTO COMPONENTS</t>
  </si>
  <si>
    <t>Segment</t>
  </si>
  <si>
    <t>Maruti Suzuki</t>
  </si>
  <si>
    <t>MARUTI.NS</t>
  </si>
  <si>
    <t>Passenger Vehicles</t>
  </si>
  <si>
    <t>Tata Motors</t>
  </si>
  <si>
    <t>TATAMOTORS.NS</t>
  </si>
  <si>
    <t>PV + CV + JLR</t>
  </si>
  <si>
    <t>Mahindra &amp; Mahindra</t>
  </si>
  <si>
    <t>M&amp;M.NS</t>
  </si>
  <si>
    <t>SUVs + Tractors</t>
  </si>
  <si>
    <t>Bajaj Auto</t>
  </si>
  <si>
    <t>BAJAJ-AUTO.NS</t>
  </si>
  <si>
    <t>2-wheelers</t>
  </si>
  <si>
    <t>Eicher Motors</t>
  </si>
  <si>
    <t>EICHERMOT.NS</t>
  </si>
  <si>
    <t>Royal Enfield</t>
  </si>
  <si>
    <t>Bosch</t>
  </si>
  <si>
    <t>BOSCHLTD.NS</t>
  </si>
  <si>
    <t>Engine parts</t>
  </si>
  <si>
    <t>Motherson Sumi</t>
  </si>
  <si>
    <t>MOTHERSUMI.NS</t>
  </si>
  <si>
    <t>Wiring harness</t>
  </si>
  <si>
    <t>Balkrishna Industries</t>
  </si>
  <si>
    <t>BALKRISIND.NS</t>
  </si>
  <si>
    <t>Off-highway tires</t>
  </si>
  <si>
    <t>OIL &amp; GAS</t>
  </si>
  <si>
    <t>Key Metric</t>
  </si>
  <si>
    <t>Integrated</t>
  </si>
  <si>
    <t>EV/EBITDA</t>
  </si>
  <si>
    <t>Indian Oil Corporation</t>
  </si>
  <si>
    <t>IOC.NS</t>
  </si>
  <si>
    <t>Refining</t>
  </si>
  <si>
    <t>GRM</t>
  </si>
  <si>
    <t>Bharat Petroleum</t>
  </si>
  <si>
    <t>BPCL.NS</t>
  </si>
  <si>
    <t>Refining + Marketing</t>
  </si>
  <si>
    <t>Marketing margin</t>
  </si>
  <si>
    <t>GAIL India</t>
  </si>
  <si>
    <t>GAIL.NS</t>
  </si>
  <si>
    <t>Gas transmission</t>
  </si>
  <si>
    <t>Volume growth</t>
  </si>
  <si>
    <t>ONGC</t>
  </si>
  <si>
    <t>ONGC.NS</t>
  </si>
  <si>
    <t>Exploration</t>
  </si>
  <si>
    <t>Realization/boe</t>
  </si>
  <si>
    <t>Petronet LNG</t>
  </si>
  <si>
    <t>PETRONET.NS</t>
  </si>
  <si>
    <t>LNG import</t>
  </si>
  <si>
    <t>Utilization</t>
  </si>
  <si>
    <t>PHARMACEUTICALS</t>
  </si>
  <si>
    <t>Focus Area</t>
  </si>
  <si>
    <t>Sun Pharmaceutical</t>
  </si>
  <si>
    <t>SUNPHARMA.NS</t>
  </si>
  <si>
    <t>Generic leader</t>
  </si>
  <si>
    <t>Dr. Reddy's Laboratories</t>
  </si>
  <si>
    <t>DRREDDY.NS</t>
  </si>
  <si>
    <t>US generics</t>
  </si>
  <si>
    <t>Cipla</t>
  </si>
  <si>
    <t>CIPLA.NS</t>
  </si>
  <si>
    <t>Respiratory + India</t>
  </si>
  <si>
    <t>Divis Laboratories</t>
  </si>
  <si>
    <t>DIVISLAB.NS</t>
  </si>
  <si>
    <t>APIs + CRAMS</t>
  </si>
  <si>
    <t>Aurobindo Pharma</t>
  </si>
  <si>
    <t>AUROPHARMA.NS</t>
  </si>
  <si>
    <t>Injectables</t>
  </si>
  <si>
    <t>Lupin</t>
  </si>
  <si>
    <t>LUPIN.NS</t>
  </si>
  <si>
    <t>Complex generics</t>
  </si>
  <si>
    <t>TELECOM</t>
  </si>
  <si>
    <t>Position</t>
  </si>
  <si>
    <t>#1 by ARPU</t>
  </si>
  <si>
    <t>#1 by subscribers</t>
  </si>
  <si>
    <t>Vodafone Idea</t>
  </si>
  <si>
    <t>IDEA.NS</t>
  </si>
  <si>
    <t>#3, struggling</t>
  </si>
  <si>
    <t>CEMENT</t>
  </si>
  <si>
    <t>Region Focus</t>
  </si>
  <si>
    <t>UltraTech Cement</t>
  </si>
  <si>
    <t>ULTRACEMCO.NS</t>
  </si>
  <si>
    <t>Pan-India leader</t>
  </si>
  <si>
    <t>Ambuja Cements</t>
  </si>
  <si>
    <t>AMBUJACEM.NS</t>
  </si>
  <si>
    <t>West + North</t>
  </si>
  <si>
    <t>ACC</t>
  </si>
  <si>
    <t>ACC.NS</t>
  </si>
  <si>
    <t>Pan-India</t>
  </si>
  <si>
    <t>Shree Cement</t>
  </si>
  <si>
    <t>SHREECEM.NS</t>
  </si>
  <si>
    <t>North + East</t>
  </si>
  <si>
    <t>Dalmia Bharat</t>
  </si>
  <si>
    <t>DALBHARAT.NS</t>
  </si>
  <si>
    <t>South + East</t>
  </si>
  <si>
    <t>REAL ESTATE</t>
  </si>
  <si>
    <t>Focus</t>
  </si>
  <si>
    <t>DLF</t>
  </si>
  <si>
    <t>DLF.NS</t>
  </si>
  <si>
    <t>Residential leader</t>
  </si>
  <si>
    <t>Prestige Estates</t>
  </si>
  <si>
    <t>PRESTIGE.NS</t>
  </si>
  <si>
    <t>South India focus</t>
  </si>
  <si>
    <t>Godrej Properties</t>
  </si>
  <si>
    <t>GODREJPROP.NS</t>
  </si>
  <si>
    <t>Premium developer</t>
  </si>
  <si>
    <t>Sobha</t>
  </si>
  <si>
    <t>SOBHA.NS</t>
  </si>
  <si>
    <t>Bangalore focus</t>
  </si>
  <si>
    <t>Macrotech (Lodha)</t>
  </si>
  <si>
    <t>LODHA.NS</t>
  </si>
  <si>
    <t>Mumbai focus</t>
  </si>
  <si>
    <t>FMCG (CONSUMER GOODS)</t>
  </si>
  <si>
    <t>Hindustan Unilever</t>
  </si>
  <si>
    <t>HINDUNILVR.NS</t>
  </si>
  <si>
    <t>Market leader</t>
  </si>
  <si>
    <t>Cigarettes + FMCG</t>
  </si>
  <si>
    <t>Nestle India</t>
  </si>
  <si>
    <t>NESTLEIND.NS</t>
  </si>
  <si>
    <t>Packaged foods</t>
  </si>
  <si>
    <t>Britannia Industries</t>
  </si>
  <si>
    <t>BRITANNIA.NS</t>
  </si>
  <si>
    <t>Biscuits</t>
  </si>
  <si>
    <t>Dabur India</t>
  </si>
  <si>
    <t>DABUR.NS</t>
  </si>
  <si>
    <t>Ayurvedic + Healthcare</t>
  </si>
  <si>
    <t>Tata Consumer Products</t>
  </si>
  <si>
    <t>TATACONSUM.NS</t>
  </si>
  <si>
    <t>Tea + Coffee</t>
  </si>
  <si>
    <t>POWER &amp; UTILITIES</t>
  </si>
  <si>
    <t>Type</t>
  </si>
  <si>
    <t>NTPC</t>
  </si>
  <si>
    <t>NTPC.NS</t>
  </si>
  <si>
    <t>Thermal power</t>
  </si>
  <si>
    <t>Power Grid Corporation</t>
  </si>
  <si>
    <t>POWERGRID.NS</t>
  </si>
  <si>
    <t>Transmission</t>
  </si>
  <si>
    <t>Tata Power</t>
  </si>
  <si>
    <t>TATAPOWER.NS</t>
  </si>
  <si>
    <t>Integrated utility</t>
  </si>
  <si>
    <t>Adani Transmission</t>
  </si>
  <si>
    <t>ADANITRANS.NS</t>
  </si>
  <si>
    <t>Private transmission</t>
  </si>
  <si>
    <t>Torrent Power</t>
  </si>
  <si>
    <t>TORNTPOWER.NS</t>
  </si>
  <si>
    <t>City gas + power</t>
  </si>
  <si>
    <t>METALS &amp; MINING</t>
  </si>
  <si>
    <t>Metal</t>
  </si>
  <si>
    <t>Tata Steel</t>
  </si>
  <si>
    <t>TATASTEEL.NS</t>
  </si>
  <si>
    <t>Steel</t>
  </si>
  <si>
    <t>JSW Steel</t>
  </si>
  <si>
    <t>JSWSTEEL.NS</t>
  </si>
  <si>
    <t>Hindalco Industries</t>
  </si>
  <si>
    <t>HINDALCO.NS</t>
  </si>
  <si>
    <t>Aluminum</t>
  </si>
  <si>
    <t>Vedanta</t>
  </si>
  <si>
    <t>VEDL.NS</t>
  </si>
  <si>
    <t>Diversified</t>
  </si>
  <si>
    <t>Coal India</t>
  </si>
  <si>
    <t>COALINDIA.NS</t>
  </si>
  <si>
    <t>Coal mining</t>
  </si>
  <si>
    <r>
      <t>Reliance Jio</t>
    </r>
    <r>
      <rPr>
        <sz val="9"/>
        <rFont val="Segoe UI"/>
        <family val="2"/>
      </rPr>
      <t> (part of RIL)</t>
    </r>
  </si>
  <si>
    <t>WEBSITE</t>
  </si>
  <si>
    <t>Reliance Industries Limited</t>
  </si>
  <si>
    <t>HDFC Bank Limited</t>
  </si>
  <si>
    <t>Infosys Limited</t>
  </si>
  <si>
    <t>ICICI Bank Limited</t>
  </si>
  <si>
    <t>Tata Consultancy Services Limited</t>
  </si>
  <si>
    <t>Bharti Airtel Limited</t>
  </si>
  <si>
    <t>ITC Limited</t>
  </si>
  <si>
    <t>Larsen &amp; Toubro Limited</t>
  </si>
  <si>
    <t>Axis Bank Limited</t>
  </si>
  <si>
    <t>Cr.</t>
  </si>
  <si>
    <t>TICKER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</si>
</sst>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%;\(0%\)"/>
    <numFmt numFmtId="165" formatCode="0.0\x"/>
    <numFmt numFmtId="166" formatCode="_([$$-409]* #,##0.00_);_([$$-409]* \(#,##0.00\);_([$$-409]* &quot;-&quot;??_);_(@_)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rgb="FFC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 val="singleAccounting"/>
      <sz val="12"/>
      <color theme="1"/>
      <name val="Calibri"/>
      <family val="2"/>
      <scheme val="minor"/>
    </font>
    <font>
      <sz val="12"/>
      <color theme="4"/>
      <name val="Calibri"/>
      <family val="2"/>
      <scheme val="minor"/>
    </font>
    <font>
      <sz val="9"/>
      <name val="Segoe UI"/>
      <family val="2"/>
    </font>
    <font>
      <sz val="9"/>
      <name val="Segoe UI"/>
      <family val="2"/>
    </font>
    <font>
      <sz val="8"/>
      <name val="Consolas"/>
      <family val="3"/>
    </font>
    <font>
      <b/>
      <sz val="13"/>
      <name val="Segoe UI"/>
      <family val="2"/>
    </font>
    <font>
      <sz val="11"/>
      <name val="Calibri"/>
      <family val="2"/>
      <scheme val="minor"/>
    </font>
    <font>
      <b/>
      <sz val="9"/>
      <name val="Segoe UI"/>
      <family val="2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3" fillId="0" borderId="0" applyNumberFormat="0" applyFill="0" applyBorder="0" applyAlignment="0" applyProtection="0"/>
  </cellStyleXfs>
  <cellXfs count="61">
    <xf numFmtId="0" fontId="0" fillId="0" borderId="0" xfId="0"/>
    <xf numFmtId="0" fontId="2" fillId="0" borderId="1" xfId="0" applyFont="1" applyBorder="1"/>
    <xf numFmtId="0" fontId="0" fillId="0" borderId="1" xfId="0" applyBorder="1"/>
    <xf numFmtId="0" fontId="3" fillId="0" borderId="1" xfId="0" applyFont="1" applyBorder="1" applyAlignment="1">
      <alignment horizontal="center"/>
    </xf>
    <xf numFmtId="0" fontId="4" fillId="3" borderId="0" xfId="0" applyFont="1" applyFill="1" applyAlignment="1">
      <alignment vertical="center"/>
    </xf>
    <xf numFmtId="0" fontId="0" fillId="3" borderId="0" xfId="0" applyFill="1" applyAlignment="1">
      <alignment horizontal="right" vertic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Continuous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quotePrefix="1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quotePrefix="1" applyFont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/>
    </xf>
    <xf numFmtId="3" fontId="0" fillId="0" borderId="2" xfId="0" applyNumberFormat="1" applyBorder="1" applyAlignment="1">
      <alignment horizontal="center" vertical="center"/>
    </xf>
    <xf numFmtId="164" fontId="0" fillId="0" borderId="2" xfId="1" applyNumberFormat="1" applyFon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0" fontId="6" fillId="0" borderId="0" xfId="0" applyFont="1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 vertical="center"/>
    </xf>
    <xf numFmtId="164" fontId="0" fillId="0" borderId="0" xfId="1" applyNumberFormat="1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4" fillId="4" borderId="3" xfId="0" applyFont="1" applyFill="1" applyBorder="1"/>
    <xf numFmtId="0" fontId="0" fillId="4" borderId="4" xfId="0" applyFill="1" applyBorder="1"/>
    <xf numFmtId="164" fontId="4" fillId="4" borderId="4" xfId="0" applyNumberFormat="1" applyFont="1" applyFill="1" applyBorder="1" applyAlignment="1">
      <alignment horizontal="center"/>
    </xf>
    <xf numFmtId="165" fontId="4" fillId="4" borderId="4" xfId="0" applyNumberFormat="1" applyFont="1" applyFill="1" applyBorder="1" applyAlignment="1">
      <alignment horizontal="center"/>
    </xf>
    <xf numFmtId="165" fontId="4" fillId="4" borderId="5" xfId="0" applyNumberFormat="1" applyFont="1" applyFill="1" applyBorder="1" applyAlignment="1">
      <alignment horizontal="center"/>
    </xf>
    <xf numFmtId="0" fontId="4" fillId="4" borderId="6" xfId="0" applyFont="1" applyFill="1" applyBorder="1"/>
    <xf numFmtId="0" fontId="0" fillId="4" borderId="1" xfId="0" applyFill="1" applyBorder="1"/>
    <xf numFmtId="164" fontId="4" fillId="4" borderId="1" xfId="0" applyNumberFormat="1" applyFont="1" applyFill="1" applyBorder="1" applyAlignment="1">
      <alignment horizontal="center"/>
    </xf>
    <xf numFmtId="165" fontId="4" fillId="4" borderId="1" xfId="0" applyNumberFormat="1" applyFont="1" applyFill="1" applyBorder="1" applyAlignment="1">
      <alignment horizontal="center"/>
    </xf>
    <xf numFmtId="165" fontId="4" fillId="4" borderId="7" xfId="0" applyNumberFormat="1" applyFont="1" applyFill="1" applyBorder="1" applyAlignment="1">
      <alignment horizontal="center"/>
    </xf>
    <xf numFmtId="165" fontId="0" fillId="0" borderId="0" xfId="0" applyNumberFormat="1" applyAlignment="1">
      <alignment horizontal="center" vertical="center"/>
    </xf>
    <xf numFmtId="4" fontId="6" fillId="0" borderId="0" xfId="0" applyNumberFormat="1" applyFont="1" applyAlignment="1">
      <alignment horizontal="center" vertical="center"/>
    </xf>
    <xf numFmtId="3" fontId="6" fillId="0" borderId="0" xfId="0" applyNumberFormat="1" applyFont="1" applyAlignment="1">
      <alignment horizontal="center" vertical="center"/>
    </xf>
    <xf numFmtId="1" fontId="6" fillId="0" borderId="0" xfId="0" quotePrefix="1" applyNumberFormat="1" applyFont="1" applyAlignment="1">
      <alignment horizontal="center" vertical="center"/>
    </xf>
    <xf numFmtId="3" fontId="0" fillId="0" borderId="0" xfId="0" applyNumberFormat="1"/>
    <xf numFmtId="3" fontId="0" fillId="0" borderId="0" xfId="0" quotePrefix="1" applyNumberFormat="1" applyAlignment="1">
      <alignment horizontal="center" vertical="center"/>
    </xf>
    <xf numFmtId="166" fontId="0" fillId="0" borderId="0" xfId="0" quotePrefix="1" applyNumberFormat="1" applyAlignment="1">
      <alignment vertical="center"/>
    </xf>
    <xf numFmtId="3" fontId="0" fillId="0" borderId="0" xfId="0" applyNumberFormat="1" applyAlignment="1">
      <alignment horizontal="center"/>
    </xf>
    <xf numFmtId="1" fontId="0" fillId="0" borderId="0" xfId="0" quotePrefix="1" applyNumberFormat="1" applyAlignment="1">
      <alignment horizontal="center" vertical="center"/>
    </xf>
    <xf numFmtId="0" fontId="4" fillId="0" borderId="1" xfId="0" applyFont="1" applyBorder="1"/>
    <xf numFmtId="0" fontId="7" fillId="0" borderId="0" xfId="0" applyFont="1" applyAlignment="1">
      <alignment horizontal="left" vertical="center" indent="1"/>
    </xf>
    <xf numFmtId="0" fontId="8" fillId="0" borderId="0" xfId="0" applyFont="1" applyAlignment="1">
      <alignment horizontal="left" vertical="center" indent="1"/>
    </xf>
    <xf numFmtId="0" fontId="9" fillId="0" borderId="0" xfId="0" applyFont="1" applyAlignment="1">
      <alignment horizontal="left" vertical="center" indent="1"/>
    </xf>
    <xf numFmtId="14" fontId="0" fillId="2" borderId="8" xfId="0" applyNumberForma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0" borderId="0" xfId="0" applyFont="1"/>
    <xf numFmtId="0" fontId="8" fillId="0" borderId="0" xfId="0" applyFont="1" applyAlignment="1">
      <alignment horizontal="left" vertical="center" wrapText="1" indent="1"/>
    </xf>
    <xf numFmtId="0" fontId="9" fillId="0" borderId="0" xfId="0" applyFont="1" applyAlignment="1">
      <alignment horizontal="left" vertical="center" wrapText="1" indent="1"/>
    </xf>
    <xf numFmtId="0" fontId="7" fillId="0" borderId="0" xfId="0" applyFont="1" applyAlignment="1">
      <alignment horizontal="left" vertical="center" wrapText="1" indent="1"/>
    </xf>
    <xf numFmtId="0" fontId="10" fillId="0" borderId="0" xfId="0" applyFont="1" applyAlignment="1">
      <alignment vertical="center" wrapText="1"/>
    </xf>
    <xf numFmtId="0" fontId="12" fillId="3" borderId="0" xfId="0" applyFont="1" applyFill="1" applyAlignment="1">
      <alignment horizontal="left" vertical="center" indent="1"/>
    </xf>
    <xf numFmtId="0" fontId="12" fillId="3" borderId="0" xfId="0" applyFont="1" applyFill="1" applyAlignment="1">
      <alignment horizontal="left" vertical="center" wrapText="1" indent="1"/>
    </xf>
    <xf numFmtId="0" fontId="0" fillId="0" borderId="0" xfId="0" applyAlignment="1">
      <alignment vertical="center" wrapText="1"/>
    </xf>
    <xf numFmtId="0" fontId="14" fillId="0" borderId="0" xfId="0" applyFont="1" applyAlignment="1">
      <alignment horizontal="center"/>
    </xf>
    <xf numFmtId="4" fontId="0" fillId="0" borderId="2" xfId="0" applyNumberFormat="1" applyBorder="1" applyAlignment="1">
      <alignment horizontal="center" vertical="center"/>
    </xf>
    <xf numFmtId="14" fontId="13" fillId="2" borderId="8" xfId="2" applyNumberFormat="1" applyFill="1" applyBorder="1" applyAlignment="1">
      <alignment horizontal="center" vertical="center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8F798BC-E886-4D89-B88E-94324567F824}">
  <we:reference id="wa104379220" version="8.0.0.0" store="en-US" storeType="OMEX"/>
  <we:alternateReferences>
    <we:reference id="wa104379220" version="8.0.0.0" store="WA104379220" storeType="OMEX"/>
  </we:alternateReferences>
  <we:properties>
    <we:property name="Office.AutoShowTaskpaneWithDocument" value="true"/>
    <we:property name="lastCryptoCompare" value="0"/>
    <we:property name="lastIexCall" value="0"/>
    <we:property name="lastMutualFundsCall" value="0"/>
    <we:property name="stocks" value="{}"/>
    <we:property name="stocksChange" value="{}"/>
    <we:property name="stocksOrder" value="[]"/>
    <we:property name="stocksSources" value="{}"/>
    <we:property name="updateIntervalIndex" value="2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cker.finology.in/?utm_source=chatgpt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C24EC-59F3-41FA-9E09-475807A21CA5}">
  <dimension ref="B2:AC29"/>
  <sheetViews>
    <sheetView showGridLines="0" tabSelected="1" topLeftCell="B1" workbookViewId="0">
      <selection activeCell="D19" sqref="D19"/>
    </sheetView>
  </sheetViews>
  <sheetFormatPr defaultRowHeight="14.4" x14ac:dyDescent="0.3"/>
  <cols>
    <col min="2" max="2" width="17.77734375" customWidth="1"/>
    <col min="3" max="3" width="33.6640625" customWidth="1"/>
    <col min="4" max="5" width="11.5546875" customWidth="1"/>
    <col min="6" max="6" width="13.109375" customWidth="1"/>
    <col min="7" max="7" width="11.5546875" customWidth="1"/>
    <col min="11" max="11" width="8.88671875" customWidth="1"/>
    <col min="17" max="17" width="11.44140625" customWidth="1"/>
    <col min="18" max="18" width="11.33203125" customWidth="1"/>
  </cols>
  <sheetData>
    <row r="2" spans="2:29" ht="21" x14ac:dyDescent="0.4">
      <c r="B2" s="1" t="s">
        <v>37</v>
      </c>
      <c r="C2" s="2"/>
      <c r="D2" s="44" t="s">
        <v>0</v>
      </c>
      <c r="E2" s="48">
        <f ca="1">TODAY()</f>
        <v>46042</v>
      </c>
      <c r="F2" s="3"/>
      <c r="G2" s="44" t="s">
        <v>251</v>
      </c>
      <c r="H2" s="60" t="s">
        <v>262</v>
      </c>
      <c r="I2" s="2"/>
      <c r="J2" s="2"/>
      <c r="K2" s="2"/>
      <c r="L2" s="2"/>
      <c r="M2" s="2"/>
      <c r="N2" s="2"/>
      <c r="O2" s="2"/>
      <c r="P2" s="2"/>
      <c r="Q2" s="2"/>
      <c r="R2" s="3"/>
      <c r="S2" s="2"/>
      <c r="T2" s="2"/>
      <c r="U2" s="3"/>
      <c r="V2" s="2"/>
      <c r="W2" s="2"/>
      <c r="X2" s="2"/>
      <c r="Y2" s="2"/>
      <c r="Z2" s="2"/>
      <c r="AA2" s="2"/>
      <c r="AB2" s="2"/>
      <c r="AC2" s="2"/>
    </row>
    <row r="4" spans="2:29" x14ac:dyDescent="0.3">
      <c r="E4" s="58" t="s">
        <v>261</v>
      </c>
      <c r="F4" s="58" t="s">
        <v>261</v>
      </c>
      <c r="G4" s="58" t="s">
        <v>261</v>
      </c>
    </row>
    <row r="5" spans="2:29" ht="17.399999999999999" x14ac:dyDescent="0.3">
      <c r="B5" s="4"/>
      <c r="C5" s="5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7" t="s">
        <v>1</v>
      </c>
      <c r="Y5" s="7"/>
      <c r="Z5" s="7"/>
      <c r="AA5" s="7"/>
      <c r="AB5" s="7"/>
      <c r="AC5" s="7"/>
    </row>
    <row r="6" spans="2:29" ht="17.399999999999999" x14ac:dyDescent="0.3">
      <c r="B6" s="4"/>
      <c r="C6" s="4"/>
      <c r="D6" s="6" t="s">
        <v>2</v>
      </c>
      <c r="E6" s="6" t="s">
        <v>3</v>
      </c>
      <c r="F6" s="6" t="s">
        <v>4</v>
      </c>
      <c r="G6" s="6" t="s">
        <v>5</v>
      </c>
      <c r="H6" s="7"/>
      <c r="I6" s="7" t="s">
        <v>6</v>
      </c>
      <c r="J6" s="7"/>
      <c r="K6" s="7"/>
      <c r="L6" s="7" t="s">
        <v>7</v>
      </c>
      <c r="M6" s="7"/>
      <c r="N6" s="7" t="s">
        <v>8</v>
      </c>
      <c r="O6" s="7"/>
      <c r="P6" s="6"/>
      <c r="Q6" s="7" t="s">
        <v>9</v>
      </c>
      <c r="R6" s="7"/>
      <c r="S6" s="7" t="s">
        <v>10</v>
      </c>
      <c r="T6" s="7"/>
      <c r="U6" s="7" t="s">
        <v>11</v>
      </c>
      <c r="V6" s="7"/>
      <c r="W6" s="6"/>
      <c r="X6" s="7" t="s">
        <v>12</v>
      </c>
      <c r="Y6" s="7"/>
      <c r="Z6" s="7" t="s">
        <v>13</v>
      </c>
      <c r="AA6" s="7"/>
      <c r="AB6" s="7" t="s">
        <v>14</v>
      </c>
      <c r="AC6" s="7"/>
    </row>
    <row r="7" spans="2:29" ht="15.6" x14ac:dyDescent="0.3">
      <c r="B7" s="8" t="s">
        <v>15</v>
      </c>
      <c r="C7" s="8" t="s">
        <v>16</v>
      </c>
      <c r="D7" s="9" t="s">
        <v>17</v>
      </c>
      <c r="E7" s="9" t="s">
        <v>18</v>
      </c>
      <c r="F7" s="9" t="s">
        <v>19</v>
      </c>
      <c r="G7" s="9" t="s">
        <v>20</v>
      </c>
      <c r="H7" s="10"/>
      <c r="I7" s="10">
        <v>2025</v>
      </c>
      <c r="J7" s="10">
        <f>I7-1</f>
        <v>2024</v>
      </c>
      <c r="K7" s="10">
        <f>J7-1</f>
        <v>2023</v>
      </c>
      <c r="L7" s="10">
        <f>J7</f>
        <v>2024</v>
      </c>
      <c r="M7" s="10">
        <f>K7</f>
        <v>2023</v>
      </c>
      <c r="N7" s="10">
        <f>L7</f>
        <v>2024</v>
      </c>
      <c r="O7" s="10">
        <f>M7</f>
        <v>2023</v>
      </c>
      <c r="P7" s="9"/>
      <c r="Q7" s="10" t="str">
        <f>_xlfn.CONCAT(I7,"-",J7)</f>
        <v>2025-2024</v>
      </c>
      <c r="R7" s="10" t="str">
        <f>_xlfn.CONCAT(J7,"-",K7)</f>
        <v>2024-2023</v>
      </c>
      <c r="S7" s="10">
        <f>J7</f>
        <v>2024</v>
      </c>
      <c r="T7" s="10">
        <f>K7</f>
        <v>2023</v>
      </c>
      <c r="U7" s="10">
        <f>S7</f>
        <v>2024</v>
      </c>
      <c r="V7" s="10">
        <f>T7</f>
        <v>2023</v>
      </c>
      <c r="W7" s="10"/>
      <c r="X7" s="10">
        <f>J7</f>
        <v>2024</v>
      </c>
      <c r="Y7" s="10">
        <f>K7</f>
        <v>2023</v>
      </c>
      <c r="Z7" s="10">
        <f>J7</f>
        <v>2024</v>
      </c>
      <c r="AA7" s="10">
        <f>K7</f>
        <v>2023</v>
      </c>
      <c r="AB7" s="10">
        <f>J7</f>
        <v>2024</v>
      </c>
      <c r="AC7" s="10">
        <f>K7</f>
        <v>2023</v>
      </c>
    </row>
    <row r="8" spans="2:29" ht="15.6" x14ac:dyDescent="0.3">
      <c r="B8" s="11"/>
      <c r="C8" s="11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</row>
    <row r="9" spans="2:29" ht="15.6" x14ac:dyDescent="0.3">
      <c r="B9" s="19" t="s">
        <v>41</v>
      </c>
      <c r="C9" s="14" t="s">
        <v>252</v>
      </c>
      <c r="D9" s="15">
        <v>1393.4</v>
      </c>
      <c r="E9" s="59">
        <v>1353.25</v>
      </c>
      <c r="F9" s="59">
        <v>2001956.74</v>
      </c>
      <c r="G9" s="59">
        <v>1885614.74</v>
      </c>
      <c r="H9" s="17"/>
      <c r="I9" s="16">
        <v>1071174</v>
      </c>
      <c r="J9" s="16">
        <v>1000122</v>
      </c>
      <c r="K9" s="16">
        <v>418944.3</v>
      </c>
      <c r="L9" s="16">
        <v>132005.42000000001</v>
      </c>
      <c r="M9" s="16">
        <v>135923.75</v>
      </c>
      <c r="N9" s="16">
        <v>100817.87</v>
      </c>
      <c r="O9" s="16">
        <v>104209.94</v>
      </c>
      <c r="P9" s="17"/>
      <c r="Q9" s="17">
        <f>J9/I9-1</f>
        <v>-6.6330960236152148E-2</v>
      </c>
      <c r="R9" s="17">
        <f>K9/J9-1</f>
        <v>-0.58110680496979372</v>
      </c>
      <c r="S9" s="17">
        <f>L9/J9</f>
        <v>0.131989317303289</v>
      </c>
      <c r="T9" s="17">
        <f>M9/K9</f>
        <v>0.32444348807228074</v>
      </c>
      <c r="U9" s="17">
        <f>N9/J9</f>
        <v>0.10080557172025012</v>
      </c>
      <c r="V9" s="17">
        <f>O9/K9</f>
        <v>0.24874414092756483</v>
      </c>
      <c r="W9" s="17"/>
      <c r="X9" s="18">
        <f>$F9/J9</f>
        <v>2.0017125310712092</v>
      </c>
      <c r="Y9" s="18">
        <f>$F9/K9</f>
        <v>4.7785749561457216</v>
      </c>
      <c r="Z9" s="18">
        <f>$F9/L9</f>
        <v>15.165716225894359</v>
      </c>
      <c r="AA9" s="18">
        <f>$F9/M9</f>
        <v>14.728527869485649</v>
      </c>
      <c r="AB9" s="18">
        <f>$G9/N9</f>
        <v>18.703179704153641</v>
      </c>
      <c r="AC9" s="18">
        <f>$G9/O9</f>
        <v>18.09438466234603</v>
      </c>
    </row>
    <row r="10" spans="2:29" ht="15.6" x14ac:dyDescent="0.3">
      <c r="B10" s="19"/>
      <c r="D10" s="20"/>
      <c r="E10" s="21"/>
      <c r="F10" s="21"/>
      <c r="G10" s="21"/>
      <c r="H10" s="22"/>
      <c r="I10" s="21"/>
      <c r="J10" s="21"/>
      <c r="K10" s="21"/>
      <c r="L10" s="21"/>
      <c r="M10" s="21"/>
      <c r="N10" s="21"/>
      <c r="O10" s="21"/>
      <c r="P10" s="22"/>
      <c r="Q10" s="22"/>
      <c r="R10" s="22"/>
      <c r="S10" s="22"/>
      <c r="T10" s="22"/>
      <c r="U10" s="22"/>
      <c r="V10" s="22"/>
      <c r="W10" s="22"/>
      <c r="X10" s="23"/>
      <c r="Y10" s="23"/>
      <c r="Z10" s="23"/>
      <c r="AA10" s="23"/>
      <c r="AB10" s="23"/>
      <c r="AC10" s="23"/>
    </row>
    <row r="11" spans="2:29" ht="15.6" x14ac:dyDescent="0.3">
      <c r="B11" s="19" t="s">
        <v>43</v>
      </c>
      <c r="C11" s="57" t="s">
        <v>253</v>
      </c>
      <c r="D11" s="20">
        <v>260.36</v>
      </c>
      <c r="E11" s="21">
        <v>7534</v>
      </c>
      <c r="F11" s="21">
        <v>1934840.24</v>
      </c>
      <c r="G11" s="21">
        <v>1947240.1</v>
      </c>
      <c r="I11" s="21">
        <v>184903</v>
      </c>
      <c r="J11" s="21">
        <v>212871.89</v>
      </c>
      <c r="K11" s="21">
        <v>240520.98</v>
      </c>
      <c r="L11" s="21">
        <v>107135.22</v>
      </c>
      <c r="M11" s="21">
        <v>123451.016</v>
      </c>
      <c r="N11" s="21">
        <v>74998.95</v>
      </c>
      <c r="O11" s="21">
        <v>86068.21</v>
      </c>
      <c r="P11" s="24"/>
      <c r="Q11" s="24">
        <f>J11/I11-1</f>
        <v>0.15126249979719097</v>
      </c>
      <c r="R11" s="24">
        <f>K11/J11-1</f>
        <v>0.12988605494130767</v>
      </c>
      <c r="S11" s="24">
        <f t="shared" ref="S11:T18" si="0">L11/J11</f>
        <v>0.50328495697576603</v>
      </c>
      <c r="T11" s="24">
        <f t="shared" si="0"/>
        <v>0.51326506319739762</v>
      </c>
      <c r="U11" s="24">
        <f t="shared" ref="U11:V18" si="1">N11/J11</f>
        <v>0.35231965103518359</v>
      </c>
      <c r="V11" s="24">
        <f t="shared" si="1"/>
        <v>0.35784075883941602</v>
      </c>
      <c r="W11" s="24"/>
      <c r="X11" s="23">
        <f t="shared" ref="X11:AA12" si="2">$F11/J11</f>
        <v>9.0892237580076909</v>
      </c>
      <c r="Y11" s="23">
        <f t="shared" si="2"/>
        <v>8.0443720127865763</v>
      </c>
      <c r="Z11" s="23">
        <f t="shared" si="2"/>
        <v>18.05979620894044</v>
      </c>
      <c r="AA11" s="23">
        <f t="shared" si="2"/>
        <v>15.672938973624971</v>
      </c>
      <c r="AB11" s="23">
        <f>$G11/N11</f>
        <v>25.963564823240862</v>
      </c>
      <c r="AC11" s="23">
        <f>$G11/O11</f>
        <v>22.624382452011027</v>
      </c>
    </row>
    <row r="12" spans="2:29" ht="15.6" x14ac:dyDescent="0.3">
      <c r="B12" s="19" t="s">
        <v>45</v>
      </c>
      <c r="C12" s="57" t="s">
        <v>254</v>
      </c>
      <c r="D12" s="20">
        <v>107.9</v>
      </c>
      <c r="E12" s="21">
        <v>13351.02</v>
      </c>
      <c r="F12" s="21">
        <v>1335207.058</v>
      </c>
      <c r="G12" s="21">
        <v>1421042.8</v>
      </c>
      <c r="I12" s="21">
        <v>257488</v>
      </c>
      <c r="J12" s="21">
        <v>293540.34000000003</v>
      </c>
      <c r="K12" s="21">
        <v>333842.78000000003</v>
      </c>
      <c r="L12" s="21">
        <v>119215.89</v>
      </c>
      <c r="M12" s="21">
        <v>136440.47</v>
      </c>
      <c r="N12" s="21">
        <v>72707.27</v>
      </c>
      <c r="O12" s="21">
        <v>84153.919999999998</v>
      </c>
      <c r="P12" s="24"/>
      <c r="Q12" s="24">
        <f t="shared" ref="Q12:R18" si="3">J12/I12-1</f>
        <v>0.14001561237805271</v>
      </c>
      <c r="R12" s="24">
        <f t="shared" si="3"/>
        <v>0.13729779014359655</v>
      </c>
      <c r="S12" s="24">
        <f t="shared" si="0"/>
        <v>0.40613119818557131</v>
      </c>
      <c r="T12" s="24">
        <f t="shared" si="0"/>
        <v>0.4086967823596484</v>
      </c>
      <c r="U12" s="24">
        <f t="shared" si="1"/>
        <v>0.24769089659022675</v>
      </c>
      <c r="V12" s="24">
        <f t="shared" si="1"/>
        <v>0.25207650139985055</v>
      </c>
      <c r="W12" s="24"/>
      <c r="X12" s="23">
        <f t="shared" si="2"/>
        <v>4.5486322527254686</v>
      </c>
      <c r="Y12" s="23">
        <f t="shared" si="2"/>
        <v>3.9995085650796458</v>
      </c>
      <c r="Z12" s="23">
        <f t="shared" si="2"/>
        <v>11.199908485353756</v>
      </c>
      <c r="AA12" s="23">
        <f t="shared" si="2"/>
        <v>9.7860045336988346</v>
      </c>
      <c r="AB12" s="23">
        <f>$G12/N12</f>
        <v>19.54471402928483</v>
      </c>
      <c r="AC12" s="23">
        <f>$G12/O12</f>
        <v>16.88623417661352</v>
      </c>
    </row>
    <row r="13" spans="2:29" ht="15.6" x14ac:dyDescent="0.3">
      <c r="B13" s="19" t="s">
        <v>47</v>
      </c>
      <c r="C13" s="57" t="s">
        <v>255</v>
      </c>
      <c r="D13" s="20">
        <v>122.42</v>
      </c>
      <c r="E13" s="21">
        <v>10180</v>
      </c>
      <c r="F13" s="21">
        <v>1309091.6000000001</v>
      </c>
      <c r="G13" s="21">
        <v>1245550.1000000001</v>
      </c>
      <c r="I13" s="21">
        <v>469822</v>
      </c>
      <c r="J13" s="21">
        <v>519607.22</v>
      </c>
      <c r="K13" s="21">
        <v>602532.06000000006</v>
      </c>
      <c r="L13" s="21">
        <v>72591.054999999993</v>
      </c>
      <c r="M13" s="21">
        <v>91094.22</v>
      </c>
      <c r="N13" s="21">
        <v>8120.0280000000002</v>
      </c>
      <c r="O13" s="21">
        <v>26570.976999999999</v>
      </c>
      <c r="P13" s="24"/>
      <c r="Q13" s="24">
        <f t="shared" si="3"/>
        <v>0.10596613185419157</v>
      </c>
      <c r="R13" s="24">
        <f t="shared" si="3"/>
        <v>0.1595913928986592</v>
      </c>
      <c r="S13" s="24">
        <f t="shared" si="0"/>
        <v>0.1397037073503328</v>
      </c>
      <c r="T13" s="24">
        <f t="shared" si="0"/>
        <v>0.15118568130631918</v>
      </c>
      <c r="U13" s="24">
        <f t="shared" si="1"/>
        <v>1.5627242439009991E-2</v>
      </c>
      <c r="V13" s="24">
        <f t="shared" si="1"/>
        <v>4.4098860067296665E-2</v>
      </c>
      <c r="W13" s="24"/>
      <c r="X13" s="23"/>
      <c r="Y13" s="23"/>
      <c r="Z13" s="23"/>
      <c r="AA13" s="23"/>
      <c r="AB13" s="23"/>
      <c r="AC13" s="23"/>
    </row>
    <row r="14" spans="2:29" ht="15.6" x14ac:dyDescent="0.3">
      <c r="B14" s="19" t="s">
        <v>48</v>
      </c>
      <c r="C14" s="57" t="s">
        <v>256</v>
      </c>
      <c r="D14" s="20">
        <v>169.27</v>
      </c>
      <c r="E14" s="21">
        <v>2742</v>
      </c>
      <c r="F14" s="21">
        <v>434612.34</v>
      </c>
      <c r="G14" s="21">
        <v>458132.66</v>
      </c>
      <c r="I14" s="21">
        <v>117929</v>
      </c>
      <c r="J14" s="21">
        <v>124180.15</v>
      </c>
      <c r="K14" s="21">
        <v>141620.56</v>
      </c>
      <c r="L14" s="21">
        <v>55751.425999999999</v>
      </c>
      <c r="M14" s="21">
        <v>63509.777000000002</v>
      </c>
      <c r="N14" s="21">
        <v>31312.880000000001</v>
      </c>
      <c r="O14" s="21">
        <v>35745.629999999997</v>
      </c>
      <c r="P14" s="24"/>
      <c r="Q14" s="24">
        <f t="shared" si="3"/>
        <v>5.3007741946425435E-2</v>
      </c>
      <c r="R14" s="24">
        <f t="shared" si="3"/>
        <v>0.14044442690719894</v>
      </c>
      <c r="S14" s="24">
        <f t="shared" si="0"/>
        <v>0.4489560207488878</v>
      </c>
      <c r="T14" s="24">
        <f t="shared" si="0"/>
        <v>0.44845026032943242</v>
      </c>
      <c r="U14" s="24">
        <f t="shared" si="1"/>
        <v>0.25215688658775176</v>
      </c>
      <c r="V14" s="24">
        <f t="shared" si="1"/>
        <v>0.25240424130507605</v>
      </c>
      <c r="W14" s="24"/>
      <c r="X14" s="23">
        <f t="shared" ref="X14:AA16" si="4">$F14/J14</f>
        <v>3.4998535595262208</v>
      </c>
      <c r="Y14" s="23">
        <f t="shared" si="4"/>
        <v>3.0688505962693555</v>
      </c>
      <c r="Z14" s="23">
        <f t="shared" si="4"/>
        <v>7.7955376423914258</v>
      </c>
      <c r="AA14" s="23">
        <f t="shared" si="4"/>
        <v>6.8432351762154671</v>
      </c>
      <c r="AB14" s="23">
        <f t="shared" ref="AB14:AC16" si="5">$G14/N14</f>
        <v>14.630805598207509</v>
      </c>
      <c r="AC14" s="23">
        <f t="shared" si="5"/>
        <v>12.816466236572134</v>
      </c>
    </row>
    <row r="15" spans="2:29" ht="15.6" x14ac:dyDescent="0.3">
      <c r="B15" s="19" t="s">
        <v>50</v>
      </c>
      <c r="C15" s="57" t="s">
        <v>257</v>
      </c>
      <c r="D15" s="20">
        <v>173.19</v>
      </c>
      <c r="E15" s="21">
        <v>2537</v>
      </c>
      <c r="F15" s="21">
        <v>430744.03</v>
      </c>
      <c r="G15" s="21">
        <v>432975</v>
      </c>
      <c r="I15" s="21">
        <v>26034</v>
      </c>
      <c r="J15" s="21">
        <v>32798.938000000002</v>
      </c>
      <c r="K15" s="21">
        <v>37965.339999999997</v>
      </c>
      <c r="L15" s="21">
        <v>16612.490000000002</v>
      </c>
      <c r="M15" s="21">
        <v>18996.025000000001</v>
      </c>
      <c r="N15" s="21">
        <v>10287.217000000001</v>
      </c>
      <c r="O15" s="21">
        <v>13867.701999999999</v>
      </c>
      <c r="P15" s="24"/>
      <c r="Q15" s="24">
        <f t="shared" si="3"/>
        <v>0.25985011907505573</v>
      </c>
      <c r="R15" s="24">
        <f t="shared" si="3"/>
        <v>0.15751735620220364</v>
      </c>
      <c r="S15" s="24">
        <f t="shared" si="0"/>
        <v>0.50649475297035529</v>
      </c>
      <c r="T15" s="24">
        <f t="shared" si="0"/>
        <v>0.50035176821806426</v>
      </c>
      <c r="U15" s="24">
        <f t="shared" si="1"/>
        <v>0.31364481984142289</v>
      </c>
      <c r="V15" s="24">
        <f t="shared" si="1"/>
        <v>0.36527269346198404</v>
      </c>
      <c r="W15" s="24"/>
      <c r="X15" s="23">
        <f t="shared" si="4"/>
        <v>13.132865155573025</v>
      </c>
      <c r="Y15" s="23">
        <f t="shared" si="4"/>
        <v>11.345717699354202</v>
      </c>
      <c r="Z15" s="23">
        <f t="shared" si="4"/>
        <v>25.928926368051989</v>
      </c>
      <c r="AA15" s="23">
        <f t="shared" si="4"/>
        <v>22.67548237065386</v>
      </c>
      <c r="AB15" s="23">
        <f t="shared" si="5"/>
        <v>42.088642632890895</v>
      </c>
      <c r="AC15" s="23">
        <f t="shared" si="5"/>
        <v>31.221827524127647</v>
      </c>
    </row>
    <row r="16" spans="2:29" ht="15.6" x14ac:dyDescent="0.3">
      <c r="B16" s="19" t="s">
        <v>52</v>
      </c>
      <c r="C16" s="57" t="s">
        <v>258</v>
      </c>
      <c r="D16" s="20">
        <v>42.304000000000002</v>
      </c>
      <c r="E16" s="21">
        <v>9689</v>
      </c>
      <c r="F16" s="21">
        <v>428893.92379560298</v>
      </c>
      <c r="G16" s="21">
        <v>402066.7</v>
      </c>
      <c r="I16" s="21">
        <v>86848.640414259193</v>
      </c>
      <c r="J16" s="21">
        <v>85842.375</v>
      </c>
      <c r="K16" s="21">
        <v>97775.945000000007</v>
      </c>
      <c r="L16" s="21">
        <v>26276.175999999999</v>
      </c>
      <c r="M16" s="21">
        <v>31613.315999999999</v>
      </c>
      <c r="N16" s="21">
        <v>17242.798999999999</v>
      </c>
      <c r="O16" s="21">
        <v>21158.287</v>
      </c>
      <c r="P16" s="24"/>
      <c r="Q16" s="24">
        <f t="shared" si="3"/>
        <v>-1.1586426793320115E-2</v>
      </c>
      <c r="R16" s="24">
        <f t="shared" si="3"/>
        <v>0.1390172394461362</v>
      </c>
      <c r="S16" s="24">
        <f t="shared" si="0"/>
        <v>0.30609796152541213</v>
      </c>
      <c r="T16" s="24">
        <f t="shared" si="0"/>
        <v>0.32332406503460537</v>
      </c>
      <c r="U16" s="24">
        <f t="shared" si="1"/>
        <v>0.20086581947435633</v>
      </c>
      <c r="V16" s="24">
        <f t="shared" si="1"/>
        <v>0.21639562777940932</v>
      </c>
      <c r="W16" s="24"/>
      <c r="X16" s="23">
        <f t="shared" si="4"/>
        <v>4.9962961042911846</v>
      </c>
      <c r="Y16" s="23">
        <f t="shared" si="4"/>
        <v>4.3864973516298198</v>
      </c>
      <c r="Z16" s="23">
        <f t="shared" si="4"/>
        <v>16.322539618991858</v>
      </c>
      <c r="AA16" s="23">
        <f t="shared" si="4"/>
        <v>13.566875546861423</v>
      </c>
      <c r="AB16" s="23">
        <f t="shared" si="5"/>
        <v>23.31794855348021</v>
      </c>
      <c r="AC16" s="23">
        <f t="shared" si="5"/>
        <v>19.002800179428515</v>
      </c>
    </row>
    <row r="17" spans="2:29" ht="15.6" x14ac:dyDescent="0.3">
      <c r="B17" s="19" t="s">
        <v>53</v>
      </c>
      <c r="C17" s="57" t="s">
        <v>259</v>
      </c>
      <c r="D17" s="20">
        <v>46.688755</v>
      </c>
      <c r="E17" s="21" t="e">
        <v>#N/A</v>
      </c>
      <c r="F17" s="21">
        <v>235523.156562919</v>
      </c>
      <c r="G17" s="21">
        <v>317141.15999999997</v>
      </c>
      <c r="I17" s="21">
        <v>244162.35563053301</v>
      </c>
      <c r="J17" s="21">
        <v>241819.58</v>
      </c>
      <c r="K17" s="21">
        <v>253651.5</v>
      </c>
      <c r="L17" s="21">
        <v>72131.67</v>
      </c>
      <c r="M17" s="21">
        <v>74626.710000000006</v>
      </c>
      <c r="N17" s="21">
        <v>33099.519999999997</v>
      </c>
      <c r="O17" s="21">
        <v>33337.027000000002</v>
      </c>
      <c r="P17" s="24"/>
      <c r="Q17" s="24">
        <f t="shared" si="3"/>
        <v>-9.5951549307548012E-3</v>
      </c>
      <c r="R17" s="24">
        <f t="shared" si="3"/>
        <v>4.892870957761164E-2</v>
      </c>
      <c r="S17" s="24">
        <f t="shared" si="0"/>
        <v>0.2982871362194906</v>
      </c>
      <c r="T17" s="24">
        <f t="shared" si="0"/>
        <v>0.29420961437247567</v>
      </c>
      <c r="U17" s="24">
        <f t="shared" si="1"/>
        <v>0.13687692286952113</v>
      </c>
      <c r="V17" s="24">
        <f t="shared" si="1"/>
        <v>0.13142846385690604</v>
      </c>
      <c r="W17" s="24"/>
      <c r="X17" s="23"/>
      <c r="Y17" s="23"/>
      <c r="Z17" s="23"/>
      <c r="AA17" s="23"/>
      <c r="AB17" s="23"/>
      <c r="AC17" s="23"/>
    </row>
    <row r="18" spans="2:29" ht="15.6" x14ac:dyDescent="0.3">
      <c r="B18" s="19" t="s">
        <v>55</v>
      </c>
      <c r="C18" s="57" t="s">
        <v>260</v>
      </c>
      <c r="D18" s="20">
        <v>401.9</v>
      </c>
      <c r="E18" s="21">
        <v>473</v>
      </c>
      <c r="F18" s="21">
        <v>189457.7</v>
      </c>
      <c r="G18" s="21">
        <v>188089.2</v>
      </c>
      <c r="I18" s="21">
        <v>15912</v>
      </c>
      <c r="J18" s="21">
        <v>17904.366999999998</v>
      </c>
      <c r="K18" s="21">
        <v>20427.643</v>
      </c>
      <c r="L18" s="21">
        <v>8746.0040000000008</v>
      </c>
      <c r="M18" s="21">
        <v>10010.045</v>
      </c>
      <c r="N18" s="21">
        <v>6459.4040000000005</v>
      </c>
      <c r="O18" s="21">
        <v>7510.3804</v>
      </c>
      <c r="P18" s="24"/>
      <c r="Q18" s="24">
        <f t="shared" si="3"/>
        <v>0.12521160130718934</v>
      </c>
      <c r="R18" s="24">
        <f t="shared" si="3"/>
        <v>0.14093075728396331</v>
      </c>
      <c r="S18" s="24">
        <f t="shared" si="0"/>
        <v>0.4884844015987832</v>
      </c>
      <c r="T18" s="24">
        <f t="shared" si="0"/>
        <v>0.49002447321014958</v>
      </c>
      <c r="U18" s="24">
        <f t="shared" si="1"/>
        <v>0.36077254225184285</v>
      </c>
      <c r="V18" s="24">
        <f t="shared" si="1"/>
        <v>0.36765770774435408</v>
      </c>
      <c r="W18" s="24"/>
      <c r="X18" s="23">
        <f>$F18/J18</f>
        <v>10.581647482985577</v>
      </c>
      <c r="Y18" s="23">
        <f>$F18/K18</f>
        <v>9.2745746535711451</v>
      </c>
      <c r="Z18" s="23">
        <f>$F18/L18</f>
        <v>21.662201389343064</v>
      </c>
      <c r="AA18" s="23">
        <f>$F18/M18</f>
        <v>18.926758071517163</v>
      </c>
      <c r="AB18" s="23">
        <f>$G18/N18</f>
        <v>29.118661721731602</v>
      </c>
      <c r="AC18" s="23">
        <f>$G18/O18</f>
        <v>25.043897909618533</v>
      </c>
    </row>
    <row r="19" spans="2:29" ht="15.6" x14ac:dyDescent="0.3">
      <c r="B19" s="19"/>
      <c r="D19" s="20"/>
      <c r="E19" s="20"/>
      <c r="F19" s="21"/>
      <c r="G19" s="21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3"/>
      <c r="Y19" s="23"/>
      <c r="Z19" s="23"/>
      <c r="AA19" s="23"/>
      <c r="AB19" s="23"/>
      <c r="AC19" s="23"/>
    </row>
    <row r="20" spans="2:29" ht="15.6" x14ac:dyDescent="0.3">
      <c r="B20" s="25" t="s">
        <v>21</v>
      </c>
      <c r="C20" s="26"/>
      <c r="D20" s="26"/>
      <c r="E20" s="26"/>
      <c r="F20" s="26"/>
      <c r="G20" s="26"/>
      <c r="H20" s="27"/>
      <c r="I20" s="27"/>
      <c r="J20" s="27"/>
      <c r="K20" s="27"/>
      <c r="L20" s="27"/>
      <c r="M20" s="27"/>
      <c r="N20" s="27"/>
      <c r="O20" s="27"/>
      <c r="P20" s="27"/>
      <c r="Q20" s="27">
        <f>AVERAGE(Q11:Q18)</f>
        <v>0.10176651557925386</v>
      </c>
      <c r="R20" s="27">
        <f t="shared" ref="R20:V20" si="6">AVERAGE(R11:R18)</f>
        <v>0.13170171592508464</v>
      </c>
      <c r="S20" s="27">
        <f t="shared" si="6"/>
        <v>0.38718001694682491</v>
      </c>
      <c r="T20" s="27">
        <f t="shared" si="6"/>
        <v>0.39118846350351155</v>
      </c>
      <c r="U20" s="27">
        <f t="shared" si="6"/>
        <v>0.23499434763616439</v>
      </c>
      <c r="V20" s="27">
        <f t="shared" si="6"/>
        <v>0.24839685680678661</v>
      </c>
      <c r="W20" s="27"/>
      <c r="X20" s="28">
        <f t="shared" ref="X20:AC20" si="7">AVERAGE(X11:X18)</f>
        <v>7.6414197188515276</v>
      </c>
      <c r="Y20" s="28">
        <f t="shared" si="7"/>
        <v>6.6865868131151238</v>
      </c>
      <c r="Z20" s="28">
        <f t="shared" si="7"/>
        <v>16.828151618845421</v>
      </c>
      <c r="AA20" s="28">
        <f t="shared" si="7"/>
        <v>14.578549112095288</v>
      </c>
      <c r="AB20" s="28">
        <f t="shared" si="7"/>
        <v>25.777389559805986</v>
      </c>
      <c r="AC20" s="29">
        <f t="shared" si="7"/>
        <v>21.265934746395232</v>
      </c>
    </row>
    <row r="21" spans="2:29" ht="15.6" x14ac:dyDescent="0.3">
      <c r="B21" s="30" t="s">
        <v>22</v>
      </c>
      <c r="C21" s="31"/>
      <c r="D21" s="31"/>
      <c r="E21" s="31"/>
      <c r="F21" s="31"/>
      <c r="G21" s="31"/>
      <c r="H21" s="32"/>
      <c r="I21" s="32"/>
      <c r="J21" s="32"/>
      <c r="K21" s="32"/>
      <c r="L21" s="32"/>
      <c r="M21" s="32"/>
      <c r="N21" s="32"/>
      <c r="O21" s="32"/>
      <c r="P21" s="32"/>
      <c r="Q21" s="32">
        <f>MEDIAN(Q11:Q18)</f>
        <v>0.11558886658069045</v>
      </c>
      <c r="R21" s="32">
        <f t="shared" ref="R21:V21" si="8">MEDIAN(R11:R18)</f>
        <v>0.13973083317666757</v>
      </c>
      <c r="S21" s="32">
        <f t="shared" si="8"/>
        <v>0.42754360946722958</v>
      </c>
      <c r="T21" s="32">
        <f t="shared" si="8"/>
        <v>0.42857352134454041</v>
      </c>
      <c r="U21" s="32">
        <f t="shared" si="8"/>
        <v>0.24992389158898926</v>
      </c>
      <c r="V21" s="32">
        <f t="shared" si="8"/>
        <v>0.2522403713524633</v>
      </c>
      <c r="W21" s="32"/>
      <c r="X21" s="33">
        <f t="shared" ref="X21:AC21" si="9">MEDIAN(X11:X18)</f>
        <v>7.0427599311494378</v>
      </c>
      <c r="Y21" s="33">
        <f t="shared" si="9"/>
        <v>6.2154346822081976</v>
      </c>
      <c r="Z21" s="33">
        <f t="shared" si="9"/>
        <v>17.191167913966147</v>
      </c>
      <c r="AA21" s="33">
        <f t="shared" si="9"/>
        <v>14.619907260243197</v>
      </c>
      <c r="AB21" s="33">
        <f t="shared" si="9"/>
        <v>24.640756688360536</v>
      </c>
      <c r="AC21" s="34">
        <f t="shared" si="9"/>
        <v>20.813591315719769</v>
      </c>
    </row>
    <row r="22" spans="2:29" ht="15.6" x14ac:dyDescent="0.3">
      <c r="B22" s="11"/>
      <c r="C22" s="11"/>
      <c r="D22" s="12"/>
      <c r="E22" s="12"/>
      <c r="F22" s="12"/>
      <c r="G22" s="12"/>
      <c r="I22" s="12"/>
      <c r="J22" s="12"/>
      <c r="K22" s="12"/>
      <c r="L22" s="12"/>
      <c r="M22" s="12"/>
      <c r="N22" s="12"/>
      <c r="O22" s="12"/>
      <c r="P22" s="12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</row>
    <row r="23" spans="2:29" ht="17.399999999999999" x14ac:dyDescent="0.3">
      <c r="B23" s="4"/>
      <c r="C23" s="4"/>
      <c r="D23" s="7" t="s">
        <v>23</v>
      </c>
      <c r="E23" s="7"/>
      <c r="F23" s="7"/>
      <c r="G23" s="6"/>
      <c r="H23" s="7" t="s">
        <v>24</v>
      </c>
      <c r="I23" s="7"/>
      <c r="J23" s="7"/>
      <c r="K23" s="6"/>
      <c r="L23" s="7" t="s">
        <v>25</v>
      </c>
      <c r="M23" s="7"/>
      <c r="N23" s="7"/>
      <c r="O23" s="6"/>
      <c r="P23" s="6"/>
      <c r="Q23" s="7"/>
      <c r="R23" s="7"/>
      <c r="S23" s="7"/>
      <c r="T23" s="7" t="s">
        <v>26</v>
      </c>
      <c r="U23" s="7"/>
      <c r="V23" s="7"/>
      <c r="W23" s="6"/>
      <c r="X23" s="7" t="s">
        <v>27</v>
      </c>
      <c r="Y23" s="7"/>
      <c r="Z23" s="7"/>
      <c r="AA23" s="6"/>
      <c r="AB23" s="6"/>
      <c r="AC23" s="6"/>
    </row>
    <row r="24" spans="2:29" ht="15.6" x14ac:dyDescent="0.3">
      <c r="B24" s="8" t="s">
        <v>28</v>
      </c>
      <c r="C24" s="8"/>
      <c r="D24" s="9" t="s">
        <v>6</v>
      </c>
      <c r="E24" s="9" t="s">
        <v>7</v>
      </c>
      <c r="F24" s="9" t="s">
        <v>29</v>
      </c>
      <c r="G24" s="9"/>
      <c r="H24" s="9" t="s">
        <v>6</v>
      </c>
      <c r="I24" s="9" t="s">
        <v>7</v>
      </c>
      <c r="J24" s="9" t="s">
        <v>30</v>
      </c>
      <c r="K24" s="9"/>
      <c r="L24" s="9" t="s">
        <v>6</v>
      </c>
      <c r="M24" s="9" t="s">
        <v>7</v>
      </c>
      <c r="N24" s="9" t="s">
        <v>8</v>
      </c>
      <c r="O24" s="9"/>
      <c r="P24" s="9" t="s">
        <v>31</v>
      </c>
      <c r="Q24" s="9" t="s">
        <v>32</v>
      </c>
      <c r="R24" s="9" t="s">
        <v>33</v>
      </c>
      <c r="S24" s="9"/>
      <c r="T24" s="9" t="s">
        <v>6</v>
      </c>
      <c r="U24" s="9" t="s">
        <v>7</v>
      </c>
      <c r="V24" s="9" t="s">
        <v>8</v>
      </c>
      <c r="W24" s="9"/>
      <c r="X24" s="9" t="s">
        <v>6</v>
      </c>
      <c r="Y24" s="9" t="s">
        <v>7</v>
      </c>
      <c r="Z24" s="9" t="s">
        <v>8</v>
      </c>
      <c r="AA24" s="9"/>
      <c r="AB24" s="9"/>
      <c r="AC24" s="9"/>
    </row>
    <row r="25" spans="2:29" ht="15.6" x14ac:dyDescent="0.3">
      <c r="B25" s="11" t="s">
        <v>34</v>
      </c>
      <c r="C25" s="11"/>
      <c r="D25" s="35">
        <f>MIN(Y11:Y18)</f>
        <v>3.0688505962693555</v>
      </c>
      <c r="E25" s="35">
        <f>MIN(AA11:AA18)</f>
        <v>6.8432351762154671</v>
      </c>
      <c r="F25" s="35">
        <f>MIN(AC11:AC18)</f>
        <v>12.816466236572134</v>
      </c>
      <c r="G25" s="12"/>
      <c r="H25" s="21">
        <f>K9</f>
        <v>418944.3</v>
      </c>
      <c r="I25" s="21">
        <f>M9</f>
        <v>135923.75</v>
      </c>
      <c r="J25" s="36">
        <v>3.55</v>
      </c>
      <c r="L25" s="21">
        <f>D25*H25</f>
        <v>1285677.4648586477</v>
      </c>
      <c r="M25" s="21">
        <f>E25*I25</f>
        <v>930158.18728311709</v>
      </c>
      <c r="N25" s="21" t="s">
        <v>35</v>
      </c>
      <c r="P25" s="37">
        <v>51511</v>
      </c>
      <c r="Q25" s="37">
        <v>119981</v>
      </c>
      <c r="R25" s="38">
        <v>16403.315999999999</v>
      </c>
      <c r="S25" s="39"/>
      <c r="T25" s="40">
        <f>L25+P25-Q25</f>
        <v>1217207.4648586477</v>
      </c>
      <c r="U25" s="40">
        <f t="shared" ref="U25:U28" si="10">M25+Q25-R25</f>
        <v>1033735.8712831171</v>
      </c>
      <c r="V25" s="40">
        <f>J25*R25*F25</f>
        <v>746325.53717047325</v>
      </c>
      <c r="W25" s="13"/>
      <c r="X25" s="41">
        <f>T25/$R25</f>
        <v>74.204963487787936</v>
      </c>
      <c r="Y25" s="41">
        <f t="shared" ref="Y25:Z28" si="11">U25/$R25</f>
        <v>63.019932755250046</v>
      </c>
      <c r="Z25" s="41">
        <f t="shared" si="11"/>
        <v>45.498455139831073</v>
      </c>
      <c r="AB25" s="13"/>
      <c r="AC25" s="13"/>
    </row>
    <row r="26" spans="2:29" ht="15.6" x14ac:dyDescent="0.3">
      <c r="B26" s="11" t="s">
        <v>21</v>
      </c>
      <c r="C26" s="11"/>
      <c r="D26" s="35">
        <f>Y20</f>
        <v>6.6865868131151238</v>
      </c>
      <c r="E26" s="35">
        <f>AA20</f>
        <v>14.578549112095288</v>
      </c>
      <c r="F26" s="35">
        <f>AC20</f>
        <v>21.265934746395232</v>
      </c>
      <c r="G26" s="12"/>
      <c r="H26" s="42">
        <f>H25</f>
        <v>418944.3</v>
      </c>
      <c r="I26" s="42">
        <f t="shared" ref="I26:I28" si="12">I25</f>
        <v>135923.75</v>
      </c>
      <c r="J26" s="36">
        <v>3.55</v>
      </c>
      <c r="K26" s="21"/>
      <c r="L26" s="21">
        <f t="shared" ref="L26:M28" si="13">D26*H26</f>
        <v>2801307.4318097462</v>
      </c>
      <c r="M26" s="21">
        <f t="shared" si="13"/>
        <v>1981571.064875162</v>
      </c>
      <c r="N26" s="21" t="s">
        <v>35</v>
      </c>
      <c r="P26" s="37">
        <v>51511</v>
      </c>
      <c r="Q26" s="37">
        <v>119981</v>
      </c>
      <c r="R26" s="38">
        <v>16403.315999999999</v>
      </c>
      <c r="T26" s="40">
        <f t="shared" ref="T26:T28" si="14">L26+P26-Q26</f>
        <v>2732837.4318097462</v>
      </c>
      <c r="U26" s="40">
        <f t="shared" si="10"/>
        <v>2085148.7488751621</v>
      </c>
      <c r="V26" s="40">
        <f t="shared" ref="V26:V28" si="15">J26*R26*F26</f>
        <v>1238353.0592657779</v>
      </c>
      <c r="W26" s="13"/>
      <c r="X26" s="41">
        <f t="shared" ref="X26:X28" si="16">T26/$R26</f>
        <v>166.60274250704836</v>
      </c>
      <c r="Y26" s="41">
        <f t="shared" si="11"/>
        <v>127.1175138536112</v>
      </c>
      <c r="Z26" s="41">
        <f t="shared" si="11"/>
        <v>75.49406834970307</v>
      </c>
      <c r="AA26" s="13"/>
      <c r="AB26" s="13"/>
      <c r="AC26" s="13"/>
    </row>
    <row r="27" spans="2:29" ht="15.6" x14ac:dyDescent="0.3">
      <c r="B27" s="11" t="s">
        <v>22</v>
      </c>
      <c r="C27" s="11"/>
      <c r="D27" s="35">
        <f t="shared" ref="D27" si="17">Y21</f>
        <v>6.2154346822081976</v>
      </c>
      <c r="E27" s="35">
        <f t="shared" ref="E27" si="18">AA21</f>
        <v>14.619907260243197</v>
      </c>
      <c r="F27" s="35">
        <f t="shared" ref="F27" si="19">AC21</f>
        <v>20.813591315719769</v>
      </c>
      <c r="G27" s="12"/>
      <c r="H27" s="42">
        <f t="shared" ref="H27:H28" si="20">H26</f>
        <v>418944.3</v>
      </c>
      <c r="I27" s="42">
        <f t="shared" si="12"/>
        <v>135923.75</v>
      </c>
      <c r="J27" s="36">
        <v>3.55</v>
      </c>
      <c r="K27" s="21"/>
      <c r="L27" s="21">
        <f t="shared" si="13"/>
        <v>2603920.9321334357</v>
      </c>
      <c r="M27" s="21">
        <f t="shared" si="13"/>
        <v>1987192.6194644812</v>
      </c>
      <c r="N27" s="21" t="s">
        <v>35</v>
      </c>
      <c r="P27" s="37">
        <v>51511</v>
      </c>
      <c r="Q27" s="37">
        <v>119981</v>
      </c>
      <c r="R27" s="38">
        <v>16403.315999999999</v>
      </c>
      <c r="T27" s="40">
        <f t="shared" si="14"/>
        <v>2535450.9321334357</v>
      </c>
      <c r="U27" s="40">
        <f t="shared" si="10"/>
        <v>2090770.3034644811</v>
      </c>
      <c r="V27" s="40">
        <f t="shared" si="15"/>
        <v>1212012.2998354551</v>
      </c>
      <c r="W27" s="13"/>
      <c r="X27" s="41">
        <f t="shared" si="16"/>
        <v>154.56941341210739</v>
      </c>
      <c r="Y27" s="41">
        <f t="shared" si="11"/>
        <v>127.46022227850035</v>
      </c>
      <c r="Z27" s="41">
        <f t="shared" si="11"/>
        <v>73.888249170805167</v>
      </c>
      <c r="AA27" s="13"/>
      <c r="AB27" s="13"/>
      <c r="AC27" s="13"/>
    </row>
    <row r="28" spans="2:29" ht="15.6" x14ac:dyDescent="0.3">
      <c r="B28" s="11" t="s">
        <v>36</v>
      </c>
      <c r="C28" s="11"/>
      <c r="D28" s="35">
        <f>MAX(Y11:Y18)</f>
        <v>11.345717699354202</v>
      </c>
      <c r="E28" s="35">
        <f>MAX(AA11:AA18)</f>
        <v>22.67548237065386</v>
      </c>
      <c r="F28" s="35">
        <f>MAX(AC11:AC18)</f>
        <v>31.221827524127647</v>
      </c>
      <c r="G28" s="12"/>
      <c r="H28" s="42">
        <f t="shared" si="20"/>
        <v>418944.3</v>
      </c>
      <c r="I28" s="42">
        <f t="shared" si="12"/>
        <v>135923.75</v>
      </c>
      <c r="J28" s="36">
        <v>3.55</v>
      </c>
      <c r="K28" s="21"/>
      <c r="L28" s="21">
        <f t="shared" si="13"/>
        <v>4753223.7595535563</v>
      </c>
      <c r="M28" s="21">
        <f t="shared" si="13"/>
        <v>3082136.5968781626</v>
      </c>
      <c r="N28" s="21" t="s">
        <v>35</v>
      </c>
      <c r="P28" s="37">
        <v>51511</v>
      </c>
      <c r="Q28" s="37">
        <v>119981</v>
      </c>
      <c r="R28" s="38">
        <v>16403.315999999999</v>
      </c>
      <c r="T28" s="40">
        <f t="shared" si="14"/>
        <v>4684753.7595535563</v>
      </c>
      <c r="U28" s="40">
        <f t="shared" si="10"/>
        <v>3185714.2808781625</v>
      </c>
      <c r="V28" s="40">
        <f t="shared" si="15"/>
        <v>1818102.33556396</v>
      </c>
      <c r="W28" s="13"/>
      <c r="X28" s="41">
        <f t="shared" si="16"/>
        <v>285.59797052946834</v>
      </c>
      <c r="Y28" s="41">
        <f t="shared" si="11"/>
        <v>194.21160214667344</v>
      </c>
      <c r="Z28" s="41">
        <f t="shared" si="11"/>
        <v>110.83748771065315</v>
      </c>
      <c r="AA28" s="13"/>
      <c r="AB28" s="13"/>
      <c r="AC28" s="13"/>
    </row>
    <row r="29" spans="2:29" ht="15.6" x14ac:dyDescent="0.3">
      <c r="B29" s="11"/>
      <c r="C29" s="11"/>
      <c r="D29" s="35"/>
      <c r="E29" s="35"/>
      <c r="F29" s="35"/>
      <c r="G29" s="12"/>
      <c r="H29" s="20"/>
      <c r="I29" s="21"/>
      <c r="J29" s="21"/>
      <c r="K29" s="21"/>
      <c r="L29" s="21"/>
      <c r="M29" s="21"/>
      <c r="N29" s="21"/>
      <c r="P29" s="21"/>
      <c r="Q29" s="21"/>
      <c r="R29" s="43"/>
      <c r="U29" s="13"/>
      <c r="V29" s="13"/>
      <c r="W29" s="13"/>
      <c r="X29" s="13"/>
      <c r="Y29" s="13"/>
      <c r="Z29" s="13"/>
      <c r="AA29" s="13"/>
      <c r="AB29" s="13"/>
      <c r="AC29" s="13"/>
    </row>
  </sheetData>
  <conditionalFormatting sqref="H9:H10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:P19 P11:P16 P18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9:Q1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9:R1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9:S1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9:T1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9:U18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9:V18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9:X18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9:Y18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:Z1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:AA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9:AB18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9:AC1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H2" r:id="rId1" xr:uid="{33366A10-69D2-4452-9078-0C80CF17F718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77106-D276-4BEF-A1D9-B39260E23A12}">
  <dimension ref="B3:E97"/>
  <sheetViews>
    <sheetView topLeftCell="A5" workbookViewId="0">
      <selection activeCell="G5" sqref="G1:H1048576"/>
    </sheetView>
  </sheetViews>
  <sheetFormatPr defaultRowHeight="14.4" x14ac:dyDescent="0.3"/>
  <cols>
    <col min="2" max="5" width="27" style="50" customWidth="1"/>
  </cols>
  <sheetData>
    <row r="3" spans="2:5" ht="19.8" x14ac:dyDescent="0.3">
      <c r="B3" s="49" t="s">
        <v>56</v>
      </c>
    </row>
    <row r="4" spans="2:5" x14ac:dyDescent="0.3">
      <c r="B4" s="55" t="s">
        <v>38</v>
      </c>
      <c r="C4" s="55" t="s">
        <v>39</v>
      </c>
      <c r="D4" s="55" t="s">
        <v>57</v>
      </c>
      <c r="E4" s="55" t="s">
        <v>58</v>
      </c>
    </row>
    <row r="5" spans="2:5" x14ac:dyDescent="0.3">
      <c r="B5" s="46" t="s">
        <v>42</v>
      </c>
      <c r="C5" s="47" t="s">
        <v>43</v>
      </c>
      <c r="D5" s="45" t="s">
        <v>59</v>
      </c>
      <c r="E5" s="45" t="s">
        <v>60</v>
      </c>
    </row>
    <row r="6" spans="2:5" x14ac:dyDescent="0.3">
      <c r="B6" s="46" t="s">
        <v>46</v>
      </c>
      <c r="C6" s="47" t="s">
        <v>47</v>
      </c>
      <c r="D6" s="45" t="s">
        <v>59</v>
      </c>
      <c r="E6" s="45" t="s">
        <v>61</v>
      </c>
    </row>
    <row r="7" spans="2:5" x14ac:dyDescent="0.3">
      <c r="B7" s="46" t="s">
        <v>62</v>
      </c>
      <c r="C7" s="47" t="s">
        <v>63</v>
      </c>
      <c r="D7" s="45" t="s">
        <v>59</v>
      </c>
      <c r="E7" s="45" t="s">
        <v>64</v>
      </c>
    </row>
    <row r="8" spans="2:5" x14ac:dyDescent="0.3">
      <c r="B8" s="46" t="s">
        <v>54</v>
      </c>
      <c r="C8" s="47" t="s">
        <v>55</v>
      </c>
      <c r="D8" s="45" t="s">
        <v>59</v>
      </c>
      <c r="E8" s="45" t="s">
        <v>65</v>
      </c>
    </row>
    <row r="9" spans="2:5" x14ac:dyDescent="0.3">
      <c r="B9" s="46" t="s">
        <v>66</v>
      </c>
      <c r="C9" s="47" t="s">
        <v>67</v>
      </c>
      <c r="D9" s="45" t="s">
        <v>59</v>
      </c>
      <c r="E9" s="45" t="s">
        <v>68</v>
      </c>
    </row>
    <row r="10" spans="2:5" x14ac:dyDescent="0.3">
      <c r="B10" s="46" t="s">
        <v>69</v>
      </c>
      <c r="C10" s="47" t="s">
        <v>70</v>
      </c>
      <c r="D10" s="45" t="s">
        <v>59</v>
      </c>
      <c r="E10" s="45" t="s">
        <v>71</v>
      </c>
    </row>
    <row r="12" spans="2:5" ht="19.8" x14ac:dyDescent="0.3">
      <c r="B12" s="49" t="s">
        <v>72</v>
      </c>
    </row>
    <row r="13" spans="2:5" x14ac:dyDescent="0.3">
      <c r="B13" s="55" t="s">
        <v>38</v>
      </c>
      <c r="C13" s="55" t="s">
        <v>39</v>
      </c>
      <c r="D13" s="55" t="s">
        <v>57</v>
      </c>
      <c r="E13" s="55" t="s">
        <v>58</v>
      </c>
    </row>
    <row r="14" spans="2:5" x14ac:dyDescent="0.3">
      <c r="B14" s="51" t="s">
        <v>73</v>
      </c>
      <c r="C14" s="52" t="s">
        <v>48</v>
      </c>
      <c r="D14" s="53" t="s">
        <v>59</v>
      </c>
      <c r="E14" s="53" t="s">
        <v>74</v>
      </c>
    </row>
    <row r="15" spans="2:5" x14ac:dyDescent="0.3">
      <c r="B15" s="51" t="s">
        <v>44</v>
      </c>
      <c r="C15" s="52" t="s">
        <v>45</v>
      </c>
      <c r="D15" s="53" t="s">
        <v>59</v>
      </c>
      <c r="E15" s="53" t="s">
        <v>75</v>
      </c>
    </row>
    <row r="16" spans="2:5" x14ac:dyDescent="0.3">
      <c r="B16" s="51" t="s">
        <v>76</v>
      </c>
      <c r="C16" s="52" t="s">
        <v>77</v>
      </c>
      <c r="D16" s="53" t="s">
        <v>59</v>
      </c>
      <c r="E16" s="53" t="s">
        <v>78</v>
      </c>
    </row>
    <row r="17" spans="2:5" x14ac:dyDescent="0.3">
      <c r="B17" s="51" t="s">
        <v>79</v>
      </c>
      <c r="C17" s="52" t="s">
        <v>80</v>
      </c>
      <c r="D17" s="53" t="s">
        <v>59</v>
      </c>
      <c r="E17" s="53" t="s">
        <v>81</v>
      </c>
    </row>
    <row r="18" spans="2:5" x14ac:dyDescent="0.3">
      <c r="B18" s="51" t="s">
        <v>82</v>
      </c>
      <c r="C18" s="52" t="s">
        <v>83</v>
      </c>
      <c r="D18" s="53" t="s">
        <v>59</v>
      </c>
      <c r="E18" s="53" t="s">
        <v>84</v>
      </c>
    </row>
    <row r="19" spans="2:5" x14ac:dyDescent="0.3">
      <c r="B19" s="51" t="s">
        <v>85</v>
      </c>
      <c r="C19" s="52" t="s">
        <v>86</v>
      </c>
      <c r="D19" s="53" t="s">
        <v>87</v>
      </c>
      <c r="E19" s="53" t="s">
        <v>88</v>
      </c>
    </row>
    <row r="21" spans="2:5" ht="19.8" x14ac:dyDescent="0.3">
      <c r="B21" s="49" t="s">
        <v>89</v>
      </c>
    </row>
    <row r="22" spans="2:5" x14ac:dyDescent="0.3">
      <c r="B22" s="56" t="s">
        <v>38</v>
      </c>
      <c r="C22" s="56" t="s">
        <v>39</v>
      </c>
      <c r="D22" s="56" t="s">
        <v>90</v>
      </c>
    </row>
    <row r="23" spans="2:5" x14ac:dyDescent="0.3">
      <c r="B23" s="51" t="s">
        <v>91</v>
      </c>
      <c r="C23" s="52" t="s">
        <v>92</v>
      </c>
      <c r="D23" s="53" t="s">
        <v>93</v>
      </c>
    </row>
    <row r="24" spans="2:5" x14ac:dyDescent="0.3">
      <c r="B24" s="51" t="s">
        <v>94</v>
      </c>
      <c r="C24" s="52" t="s">
        <v>95</v>
      </c>
      <c r="D24" s="53" t="s">
        <v>96</v>
      </c>
    </row>
    <row r="25" spans="2:5" x14ac:dyDescent="0.3">
      <c r="B25" s="51" t="s">
        <v>97</v>
      </c>
      <c r="C25" s="52" t="s">
        <v>98</v>
      </c>
      <c r="D25" s="53" t="s">
        <v>99</v>
      </c>
    </row>
    <row r="26" spans="2:5" x14ac:dyDescent="0.3">
      <c r="B26" s="51" t="s">
        <v>100</v>
      </c>
      <c r="C26" s="52" t="s">
        <v>101</v>
      </c>
      <c r="D26" s="53" t="s">
        <v>102</v>
      </c>
    </row>
    <row r="27" spans="2:5" x14ac:dyDescent="0.3">
      <c r="B27" s="51" t="s">
        <v>103</v>
      </c>
      <c r="C27" s="52" t="s">
        <v>104</v>
      </c>
      <c r="D27" s="53" t="s">
        <v>105</v>
      </c>
    </row>
    <row r="29" spans="2:5" x14ac:dyDescent="0.3">
      <c r="B29" s="56" t="s">
        <v>38</v>
      </c>
      <c r="C29" s="56" t="s">
        <v>39</v>
      </c>
      <c r="D29" s="56" t="s">
        <v>90</v>
      </c>
    </row>
    <row r="30" spans="2:5" x14ac:dyDescent="0.3">
      <c r="B30" s="51" t="s">
        <v>106</v>
      </c>
      <c r="C30" s="52" t="s">
        <v>107</v>
      </c>
      <c r="D30" s="53" t="s">
        <v>108</v>
      </c>
    </row>
    <row r="31" spans="2:5" x14ac:dyDescent="0.3">
      <c r="B31" s="51" t="s">
        <v>109</v>
      </c>
      <c r="C31" s="52" t="s">
        <v>110</v>
      </c>
      <c r="D31" s="53" t="s">
        <v>111</v>
      </c>
    </row>
    <row r="32" spans="2:5" x14ac:dyDescent="0.3">
      <c r="B32" s="51" t="s">
        <v>112</v>
      </c>
      <c r="C32" s="52" t="s">
        <v>113</v>
      </c>
      <c r="D32" s="53" t="s">
        <v>114</v>
      </c>
    </row>
    <row r="34" spans="2:5" ht="19.8" x14ac:dyDescent="0.3">
      <c r="B34" s="54" t="s">
        <v>115</v>
      </c>
    </row>
    <row r="35" spans="2:5" x14ac:dyDescent="0.3">
      <c r="B35" s="56" t="s">
        <v>38</v>
      </c>
      <c r="C35" s="56" t="s">
        <v>39</v>
      </c>
      <c r="D35" s="56" t="s">
        <v>90</v>
      </c>
      <c r="E35" s="56" t="s">
        <v>116</v>
      </c>
    </row>
    <row r="36" spans="2:5" x14ac:dyDescent="0.3">
      <c r="B36" s="51" t="s">
        <v>40</v>
      </c>
      <c r="C36" s="52" t="s">
        <v>41</v>
      </c>
      <c r="D36" s="53" t="s">
        <v>117</v>
      </c>
      <c r="E36" s="53" t="s">
        <v>118</v>
      </c>
    </row>
    <row r="37" spans="2:5" x14ac:dyDescent="0.3">
      <c r="B37" s="51" t="s">
        <v>119</v>
      </c>
      <c r="C37" s="52" t="s">
        <v>120</v>
      </c>
      <c r="D37" s="53" t="s">
        <v>121</v>
      </c>
      <c r="E37" s="53" t="s">
        <v>122</v>
      </c>
    </row>
    <row r="38" spans="2:5" x14ac:dyDescent="0.3">
      <c r="B38" s="51" t="s">
        <v>123</v>
      </c>
      <c r="C38" s="52" t="s">
        <v>124</v>
      </c>
      <c r="D38" s="53" t="s">
        <v>125</v>
      </c>
      <c r="E38" s="53" t="s">
        <v>126</v>
      </c>
    </row>
    <row r="39" spans="2:5" x14ac:dyDescent="0.3">
      <c r="B39" s="51" t="s">
        <v>127</v>
      </c>
      <c r="C39" s="52" t="s">
        <v>128</v>
      </c>
      <c r="D39" s="53" t="s">
        <v>129</v>
      </c>
      <c r="E39" s="53" t="s">
        <v>130</v>
      </c>
    </row>
    <row r="40" spans="2:5" x14ac:dyDescent="0.3">
      <c r="B40" s="51" t="s">
        <v>131</v>
      </c>
      <c r="C40" s="52" t="s">
        <v>132</v>
      </c>
      <c r="D40" s="53" t="s">
        <v>133</v>
      </c>
      <c r="E40" s="53" t="s">
        <v>134</v>
      </c>
    </row>
    <row r="41" spans="2:5" x14ac:dyDescent="0.3">
      <c r="B41" s="51" t="s">
        <v>135</v>
      </c>
      <c r="C41" s="52" t="s">
        <v>136</v>
      </c>
      <c r="D41" s="53" t="s">
        <v>137</v>
      </c>
      <c r="E41" s="53" t="s">
        <v>138</v>
      </c>
    </row>
    <row r="43" spans="2:5" ht="19.8" x14ac:dyDescent="0.3">
      <c r="B43" s="49" t="s">
        <v>139</v>
      </c>
    </row>
    <row r="44" spans="2:5" x14ac:dyDescent="0.3">
      <c r="B44" s="56" t="s">
        <v>38</v>
      </c>
      <c r="C44" s="56" t="s">
        <v>39</v>
      </c>
      <c r="D44" s="56" t="s">
        <v>140</v>
      </c>
    </row>
    <row r="45" spans="2:5" x14ac:dyDescent="0.3">
      <c r="B45" s="51" t="s">
        <v>141</v>
      </c>
      <c r="C45" s="52" t="s">
        <v>142</v>
      </c>
      <c r="D45" s="53" t="s">
        <v>143</v>
      </c>
    </row>
    <row r="46" spans="2:5" x14ac:dyDescent="0.3">
      <c r="B46" s="51" t="s">
        <v>144</v>
      </c>
      <c r="C46" s="52" t="s">
        <v>145</v>
      </c>
      <c r="D46" s="53" t="s">
        <v>146</v>
      </c>
    </row>
    <row r="47" spans="2:5" x14ac:dyDescent="0.3">
      <c r="B47" s="51" t="s">
        <v>147</v>
      </c>
      <c r="C47" s="52" t="s">
        <v>148</v>
      </c>
      <c r="D47" s="53" t="s">
        <v>149</v>
      </c>
    </row>
    <row r="48" spans="2:5" x14ac:dyDescent="0.3">
      <c r="B48" s="51" t="s">
        <v>150</v>
      </c>
      <c r="C48" s="52" t="s">
        <v>151</v>
      </c>
      <c r="D48" s="53" t="s">
        <v>152</v>
      </c>
    </row>
    <row r="49" spans="2:4" x14ac:dyDescent="0.3">
      <c r="B49" s="51" t="s">
        <v>153</v>
      </c>
      <c r="C49" s="52" t="s">
        <v>154</v>
      </c>
      <c r="D49" s="53" t="s">
        <v>155</v>
      </c>
    </row>
    <row r="50" spans="2:4" x14ac:dyDescent="0.3">
      <c r="B50" s="51" t="s">
        <v>156</v>
      </c>
      <c r="C50" s="52" t="s">
        <v>157</v>
      </c>
      <c r="D50" s="53" t="s">
        <v>158</v>
      </c>
    </row>
    <row r="52" spans="2:4" ht="19.8" x14ac:dyDescent="0.3">
      <c r="B52" s="54" t="s">
        <v>159</v>
      </c>
    </row>
    <row r="53" spans="2:4" x14ac:dyDescent="0.3">
      <c r="B53" s="56" t="s">
        <v>38</v>
      </c>
      <c r="C53" s="56" t="s">
        <v>39</v>
      </c>
      <c r="D53" s="56" t="s">
        <v>160</v>
      </c>
    </row>
    <row r="54" spans="2:4" x14ac:dyDescent="0.3">
      <c r="B54" s="51" t="s">
        <v>49</v>
      </c>
      <c r="C54" s="52" t="s">
        <v>50</v>
      </c>
      <c r="D54" s="53" t="s">
        <v>161</v>
      </c>
    </row>
    <row r="55" spans="2:4" x14ac:dyDescent="0.3">
      <c r="B55" s="51" t="s">
        <v>250</v>
      </c>
      <c r="C55" s="52" t="s">
        <v>41</v>
      </c>
      <c r="D55" s="53" t="s">
        <v>162</v>
      </c>
    </row>
    <row r="56" spans="2:4" x14ac:dyDescent="0.3">
      <c r="B56" s="51" t="s">
        <v>163</v>
      </c>
      <c r="C56" s="52" t="s">
        <v>164</v>
      </c>
      <c r="D56" s="53" t="s">
        <v>165</v>
      </c>
    </row>
    <row r="58" spans="2:4" ht="19.8" x14ac:dyDescent="0.3">
      <c r="B58" s="54" t="s">
        <v>166</v>
      </c>
    </row>
    <row r="59" spans="2:4" x14ac:dyDescent="0.3">
      <c r="B59" s="56" t="s">
        <v>38</v>
      </c>
      <c r="C59" s="56" t="s">
        <v>39</v>
      </c>
      <c r="D59" s="56" t="s">
        <v>167</v>
      </c>
    </row>
    <row r="60" spans="2:4" x14ac:dyDescent="0.3">
      <c r="B60" s="51" t="s">
        <v>168</v>
      </c>
      <c r="C60" s="52" t="s">
        <v>169</v>
      </c>
      <c r="D60" s="53" t="s">
        <v>170</v>
      </c>
    </row>
    <row r="61" spans="2:4" x14ac:dyDescent="0.3">
      <c r="B61" s="51" t="s">
        <v>171</v>
      </c>
      <c r="C61" s="52" t="s">
        <v>172</v>
      </c>
      <c r="D61" s="53" t="s">
        <v>173</v>
      </c>
    </row>
    <row r="62" spans="2:4" x14ac:dyDescent="0.3">
      <c r="B62" s="51" t="s">
        <v>174</v>
      </c>
      <c r="C62" s="52" t="s">
        <v>175</v>
      </c>
      <c r="D62" s="53" t="s">
        <v>176</v>
      </c>
    </row>
    <row r="63" spans="2:4" x14ac:dyDescent="0.3">
      <c r="B63" s="51" t="s">
        <v>177</v>
      </c>
      <c r="C63" s="52" t="s">
        <v>178</v>
      </c>
      <c r="D63" s="53" t="s">
        <v>179</v>
      </c>
    </row>
    <row r="64" spans="2:4" x14ac:dyDescent="0.3">
      <c r="B64" s="51" t="s">
        <v>180</v>
      </c>
      <c r="C64" s="52" t="s">
        <v>181</v>
      </c>
      <c r="D64" s="53" t="s">
        <v>182</v>
      </c>
    </row>
    <row r="66" spans="2:4" ht="19.8" x14ac:dyDescent="0.3">
      <c r="B66" s="54" t="s">
        <v>183</v>
      </c>
    </row>
    <row r="67" spans="2:4" x14ac:dyDescent="0.3">
      <c r="B67" s="56" t="s">
        <v>38</v>
      </c>
      <c r="C67" s="56" t="s">
        <v>39</v>
      </c>
      <c r="D67" s="56" t="s">
        <v>184</v>
      </c>
    </row>
    <row r="68" spans="2:4" x14ac:dyDescent="0.3">
      <c r="B68" s="51" t="s">
        <v>185</v>
      </c>
      <c r="C68" s="52" t="s">
        <v>186</v>
      </c>
      <c r="D68" s="53" t="s">
        <v>187</v>
      </c>
    </row>
    <row r="69" spans="2:4" x14ac:dyDescent="0.3">
      <c r="B69" s="51" t="s">
        <v>188</v>
      </c>
      <c r="C69" s="52" t="s">
        <v>189</v>
      </c>
      <c r="D69" s="53" t="s">
        <v>190</v>
      </c>
    </row>
    <row r="70" spans="2:4" x14ac:dyDescent="0.3">
      <c r="B70" s="51" t="s">
        <v>191</v>
      </c>
      <c r="C70" s="52" t="s">
        <v>192</v>
      </c>
      <c r="D70" s="53" t="s">
        <v>193</v>
      </c>
    </row>
    <row r="71" spans="2:4" x14ac:dyDescent="0.3">
      <c r="B71" s="51" t="s">
        <v>194</v>
      </c>
      <c r="C71" s="52" t="s">
        <v>195</v>
      </c>
      <c r="D71" s="53" t="s">
        <v>196</v>
      </c>
    </row>
    <row r="72" spans="2:4" x14ac:dyDescent="0.3">
      <c r="B72" s="51" t="s">
        <v>197</v>
      </c>
      <c r="C72" s="52" t="s">
        <v>198</v>
      </c>
      <c r="D72" s="53" t="s">
        <v>199</v>
      </c>
    </row>
    <row r="74" spans="2:4" ht="19.8" x14ac:dyDescent="0.3">
      <c r="B74" s="49" t="s">
        <v>200</v>
      </c>
    </row>
    <row r="75" spans="2:4" x14ac:dyDescent="0.3">
      <c r="B75" s="56" t="s">
        <v>38</v>
      </c>
      <c r="C75" s="56" t="s">
        <v>39</v>
      </c>
      <c r="D75" s="56" t="s">
        <v>90</v>
      </c>
    </row>
    <row r="76" spans="2:4" x14ac:dyDescent="0.3">
      <c r="B76" s="51" t="s">
        <v>201</v>
      </c>
      <c r="C76" s="52" t="s">
        <v>202</v>
      </c>
      <c r="D76" s="53" t="s">
        <v>203</v>
      </c>
    </row>
    <row r="77" spans="2:4" x14ac:dyDescent="0.3">
      <c r="B77" s="51" t="s">
        <v>51</v>
      </c>
      <c r="C77" s="52" t="s">
        <v>52</v>
      </c>
      <c r="D77" s="53" t="s">
        <v>204</v>
      </c>
    </row>
    <row r="78" spans="2:4" x14ac:dyDescent="0.3">
      <c r="B78" s="51" t="s">
        <v>205</v>
      </c>
      <c r="C78" s="52" t="s">
        <v>206</v>
      </c>
      <c r="D78" s="53" t="s">
        <v>207</v>
      </c>
    </row>
    <row r="79" spans="2:4" x14ac:dyDescent="0.3">
      <c r="B79" s="51" t="s">
        <v>208</v>
      </c>
      <c r="C79" s="52" t="s">
        <v>209</v>
      </c>
      <c r="D79" s="53" t="s">
        <v>210</v>
      </c>
    </row>
    <row r="80" spans="2:4" x14ac:dyDescent="0.3">
      <c r="B80" s="51" t="s">
        <v>211</v>
      </c>
      <c r="C80" s="52" t="s">
        <v>212</v>
      </c>
      <c r="D80" s="53" t="s">
        <v>213</v>
      </c>
    </row>
    <row r="81" spans="2:4" x14ac:dyDescent="0.3">
      <c r="B81" s="51" t="s">
        <v>214</v>
      </c>
      <c r="C81" s="52" t="s">
        <v>215</v>
      </c>
      <c r="D81" s="53" t="s">
        <v>216</v>
      </c>
    </row>
    <row r="83" spans="2:4" ht="19.8" x14ac:dyDescent="0.3">
      <c r="B83" s="49" t="s">
        <v>217</v>
      </c>
    </row>
    <row r="84" spans="2:4" x14ac:dyDescent="0.3">
      <c r="B84" s="56" t="s">
        <v>38</v>
      </c>
      <c r="C84" s="56" t="s">
        <v>39</v>
      </c>
      <c r="D84" s="56" t="s">
        <v>218</v>
      </c>
    </row>
    <row r="85" spans="2:4" x14ac:dyDescent="0.3">
      <c r="B85" s="51" t="s">
        <v>219</v>
      </c>
      <c r="C85" s="52" t="s">
        <v>220</v>
      </c>
      <c r="D85" s="53" t="s">
        <v>221</v>
      </c>
    </row>
    <row r="86" spans="2:4" x14ac:dyDescent="0.3">
      <c r="B86" s="51" t="s">
        <v>222</v>
      </c>
      <c r="C86" s="52" t="s">
        <v>223</v>
      </c>
      <c r="D86" s="53" t="s">
        <v>224</v>
      </c>
    </row>
    <row r="87" spans="2:4" x14ac:dyDescent="0.3">
      <c r="B87" s="51" t="s">
        <v>225</v>
      </c>
      <c r="C87" s="52" t="s">
        <v>226</v>
      </c>
      <c r="D87" s="53" t="s">
        <v>227</v>
      </c>
    </row>
    <row r="88" spans="2:4" x14ac:dyDescent="0.3">
      <c r="B88" s="51" t="s">
        <v>228</v>
      </c>
      <c r="C88" s="52" t="s">
        <v>229</v>
      </c>
      <c r="D88" s="53" t="s">
        <v>230</v>
      </c>
    </row>
    <row r="89" spans="2:4" x14ac:dyDescent="0.3">
      <c r="B89" s="51" t="s">
        <v>231</v>
      </c>
      <c r="C89" s="52" t="s">
        <v>232</v>
      </c>
      <c r="D89" s="53" t="s">
        <v>233</v>
      </c>
    </row>
    <row r="91" spans="2:4" ht="19.8" x14ac:dyDescent="0.3">
      <c r="B91" s="49" t="s">
        <v>234</v>
      </c>
    </row>
    <row r="92" spans="2:4" x14ac:dyDescent="0.3">
      <c r="B92" s="56" t="s">
        <v>38</v>
      </c>
      <c r="C92" s="56" t="s">
        <v>39</v>
      </c>
      <c r="D92" s="56" t="s">
        <v>235</v>
      </c>
    </row>
    <row r="93" spans="2:4" x14ac:dyDescent="0.3">
      <c r="B93" s="51" t="s">
        <v>236</v>
      </c>
      <c r="C93" s="52" t="s">
        <v>237</v>
      </c>
      <c r="D93" s="53" t="s">
        <v>238</v>
      </c>
    </row>
    <row r="94" spans="2:4" x14ac:dyDescent="0.3">
      <c r="B94" s="51" t="s">
        <v>239</v>
      </c>
      <c r="C94" s="52" t="s">
        <v>240</v>
      </c>
      <c r="D94" s="53" t="s">
        <v>238</v>
      </c>
    </row>
    <row r="95" spans="2:4" x14ac:dyDescent="0.3">
      <c r="B95" s="51" t="s">
        <v>241</v>
      </c>
      <c r="C95" s="52" t="s">
        <v>242</v>
      </c>
      <c r="D95" s="53" t="s">
        <v>243</v>
      </c>
    </row>
    <row r="96" spans="2:4" x14ac:dyDescent="0.3">
      <c r="B96" s="51" t="s">
        <v>244</v>
      </c>
      <c r="C96" s="52" t="s">
        <v>245</v>
      </c>
      <c r="D96" s="53" t="s">
        <v>246</v>
      </c>
    </row>
    <row r="97" spans="2:4" x14ac:dyDescent="0.3">
      <c r="B97" s="51" t="s">
        <v>247</v>
      </c>
      <c r="C97" s="52" t="s">
        <v>248</v>
      </c>
      <c r="D97" s="53" t="s">
        <v>249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72713EE-4823-4C06-AC81-1202C421B41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e14</dc:creator>
  <cp:lastModifiedBy>Shivam Raj</cp:lastModifiedBy>
  <dcterms:created xsi:type="dcterms:W3CDTF">2026-01-04T13:32:22Z</dcterms:created>
  <dcterms:modified xsi:type="dcterms:W3CDTF">2026-01-20T13:49:54Z</dcterms:modified>
</cp:coreProperties>
</file>