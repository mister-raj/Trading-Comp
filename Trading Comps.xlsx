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2B536DDC-CE31-49EF-B6E3-D5AEAA2EB5F5}" xr6:coauthVersionLast="47" xr6:coauthVersionMax="47" xr10:uidLastSave="{00000000-0000-0000-0000-000000000000}"/>
  <bookViews>
    <workbookView xWindow="-108" yWindow="-108" windowWidth="23256" windowHeight="12456" xr2:uid="{7F462D15-BDFB-437F-852A-ECACE2383642}"/>
  </bookViews>
  <sheets>
    <sheet name="Trading Comps" sheetId="1" r:id="rId1"/>
    <sheet name="Sheet1"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2" i="1" l="1"/>
  <c r="Y12" i="1"/>
  <c r="Z12" i="1"/>
  <c r="AA12" i="1"/>
  <c r="X13" i="1"/>
  <c r="Y13" i="1"/>
  <c r="Z13" i="1"/>
  <c r="AA13" i="1"/>
  <c r="X14" i="1"/>
  <c r="Y14" i="1"/>
  <c r="Z14" i="1"/>
  <c r="AA14" i="1"/>
  <c r="X15" i="1"/>
  <c r="Y15" i="1"/>
  <c r="Z15" i="1"/>
  <c r="AA15" i="1"/>
  <c r="X16" i="1"/>
  <c r="Y16" i="1"/>
  <c r="Z16" i="1"/>
  <c r="AA16" i="1"/>
  <c r="X17" i="1"/>
  <c r="Y17" i="1"/>
  <c r="Z17" i="1"/>
  <c r="AA17" i="1"/>
  <c r="X18" i="1"/>
  <c r="Y18" i="1"/>
  <c r="Z18" i="1"/>
  <c r="AA18" i="1"/>
  <c r="X19" i="1"/>
  <c r="Y19" i="1"/>
  <c r="Z19" i="1"/>
  <c r="AA19" i="1"/>
  <c r="X20" i="1"/>
  <c r="Y20" i="1"/>
  <c r="Z20" i="1"/>
  <c r="AA20" i="1"/>
  <c r="X21" i="1"/>
  <c r="Y21" i="1"/>
  <c r="Z21" i="1"/>
  <c r="AA21" i="1"/>
  <c r="Q13" i="1"/>
  <c r="R13" i="1"/>
  <c r="S13" i="1"/>
  <c r="T13" i="1"/>
  <c r="U13" i="1"/>
  <c r="V13" i="1"/>
  <c r="Q14" i="1"/>
  <c r="R14" i="1"/>
  <c r="S14" i="1"/>
  <c r="T14" i="1"/>
  <c r="U14" i="1"/>
  <c r="V14" i="1"/>
  <c r="Q15" i="1"/>
  <c r="R15" i="1"/>
  <c r="S15" i="1"/>
  <c r="T15" i="1"/>
  <c r="U15" i="1"/>
  <c r="V15" i="1"/>
  <c r="Q16" i="1"/>
  <c r="R16" i="1"/>
  <c r="S16" i="1"/>
  <c r="T16" i="1"/>
  <c r="U16" i="1"/>
  <c r="V16" i="1"/>
  <c r="Q17" i="1"/>
  <c r="R17" i="1"/>
  <c r="S17" i="1"/>
  <c r="T17" i="1"/>
  <c r="U17" i="1"/>
  <c r="V17" i="1"/>
  <c r="Q18" i="1"/>
  <c r="R18" i="1"/>
  <c r="S18" i="1"/>
  <c r="T18" i="1"/>
  <c r="U18" i="1"/>
  <c r="V18" i="1"/>
  <c r="Q19" i="1"/>
  <c r="R19" i="1"/>
  <c r="S19" i="1"/>
  <c r="T19" i="1"/>
  <c r="U19" i="1"/>
  <c r="V19" i="1"/>
  <c r="Q20" i="1"/>
  <c r="R20" i="1"/>
  <c r="S20" i="1"/>
  <c r="T20" i="1"/>
  <c r="U20" i="1"/>
  <c r="V20" i="1"/>
  <c r="Q21" i="1"/>
  <c r="R21" i="1"/>
  <c r="S21" i="1"/>
  <c r="T21" i="1"/>
  <c r="U21" i="1"/>
  <c r="V21" i="1"/>
  <c r="G12" i="1" a="1"/>
  <c r="G12" i="1" s="1"/>
  <c r="AB12" i="1" s="1"/>
  <c r="G13" i="1" a="1"/>
  <c r="G13" i="1" s="1"/>
  <c r="AB13" i="1" s="1"/>
  <c r="G14" i="1" a="1"/>
  <c r="G14" i="1" s="1"/>
  <c r="AB14" i="1" s="1"/>
  <c r="G15" i="1" a="1"/>
  <c r="G15" i="1" s="1"/>
  <c r="AB15" i="1" s="1"/>
  <c r="G16" i="1" a="1"/>
  <c r="G16" i="1" s="1"/>
  <c r="AB16" i="1" s="1"/>
  <c r="G17" i="1" a="1"/>
  <c r="G17" i="1" s="1"/>
  <c r="AB17" i="1" s="1"/>
  <c r="G18" i="1" a="1"/>
  <c r="G18" i="1" s="1"/>
  <c r="AB18" i="1" s="1"/>
  <c r="G19" i="1" a="1"/>
  <c r="G19" i="1" s="1"/>
  <c r="AB19" i="1" s="1"/>
  <c r="G20" i="1" a="1"/>
  <c r="G20" i="1" s="1"/>
  <c r="AB20" i="1" s="1"/>
  <c r="G21" i="1" a="1"/>
  <c r="G21" i="1" s="1"/>
  <c r="AB21" i="1" s="1"/>
  <c r="G11" i="1" a="1"/>
  <c r="G11" i="1" s="1"/>
  <c r="G9" i="1" a="1"/>
  <c r="G9" i="1" s="1"/>
  <c r="E12" i="1" a="1"/>
  <c r="E12" i="1" s="1"/>
  <c r="E13" i="1" a="1"/>
  <c r="E13" i="1" s="1"/>
  <c r="E14" i="1" a="1"/>
  <c r="E14" i="1" s="1"/>
  <c r="E15" i="1" a="1"/>
  <c r="E15" i="1" s="1"/>
  <c r="E16" i="1" a="1"/>
  <c r="E16" i="1" s="1"/>
  <c r="E17" i="1" a="1"/>
  <c r="E17" i="1" s="1"/>
  <c r="E18" i="1" a="1"/>
  <c r="E18" i="1" s="1"/>
  <c r="E19" i="1" a="1"/>
  <c r="E19" i="1" s="1"/>
  <c r="E20" i="1" a="1"/>
  <c r="E20" i="1" s="1"/>
  <c r="E21" i="1" a="1"/>
  <c r="E21" i="1" s="1"/>
  <c r="E11" i="1" a="1"/>
  <c r="E11" i="1" s="1"/>
  <c r="E9" i="1" a="1"/>
  <c r="E9" i="1" s="1"/>
  <c r="D12" i="1" a="1"/>
  <c r="D12" i="1" s="1"/>
  <c r="D13" i="1" a="1"/>
  <c r="D13" i="1" s="1"/>
  <c r="D14" i="1" a="1"/>
  <c r="D14" i="1" s="1"/>
  <c r="D15" i="1" a="1"/>
  <c r="D15" i="1" s="1"/>
  <c r="D16" i="1" a="1"/>
  <c r="D16" i="1" s="1"/>
  <c r="D17" i="1" a="1"/>
  <c r="D17" i="1" s="1"/>
  <c r="D18" i="1" a="1"/>
  <c r="D18" i="1" s="1"/>
  <c r="D19" i="1" a="1"/>
  <c r="D19" i="1" s="1"/>
  <c r="D20" i="1" a="1"/>
  <c r="D20" i="1" s="1"/>
  <c r="D21" i="1" a="1"/>
  <c r="D21" i="1" s="1"/>
  <c r="D11" i="1" a="1"/>
  <c r="D11" i="1" s="1"/>
  <c r="D9" i="1" a="1"/>
  <c r="D9" i="1" s="1"/>
  <c r="C12" i="1" a="1"/>
  <c r="C12" i="1" s="1"/>
  <c r="H12" i="1" s="1"/>
  <c r="C13" i="1" a="1"/>
  <c r="C13" i="1" s="1"/>
  <c r="H13" i="1" s="1"/>
  <c r="C14" i="1" a="1"/>
  <c r="C14" i="1" s="1"/>
  <c r="H14" i="1" s="1"/>
  <c r="C15" i="1" a="1"/>
  <c r="C15" i="1" s="1"/>
  <c r="H15" i="1" s="1"/>
  <c r="C16" i="1" a="1"/>
  <c r="C16" i="1" s="1"/>
  <c r="H16" i="1" s="1"/>
  <c r="C17" i="1" a="1"/>
  <c r="C17" i="1" s="1"/>
  <c r="H17" i="1" s="1"/>
  <c r="C18" i="1" a="1"/>
  <c r="C18" i="1" s="1"/>
  <c r="H18" i="1" s="1"/>
  <c r="C19" i="1" a="1"/>
  <c r="C19" i="1" s="1"/>
  <c r="H19" i="1" s="1"/>
  <c r="C20" i="1" a="1"/>
  <c r="C20" i="1" s="1"/>
  <c r="H20" i="1" s="1"/>
  <c r="C21" i="1" a="1"/>
  <c r="C21" i="1" s="1"/>
  <c r="H21" i="1" s="1"/>
  <c r="C11" i="1" a="1"/>
  <c r="C11" i="1" s="1"/>
  <c r="H11" i="1" s="1"/>
  <c r="C9" i="1" a="1"/>
  <c r="C9" i="1" s="1"/>
  <c r="H9" i="1" s="1"/>
  <c r="J7" i="1"/>
  <c r="Z7" i="1" s="1"/>
  <c r="E2" i="1"/>
  <c r="AC19" i="1" l="1"/>
  <c r="AC15" i="1"/>
  <c r="AC20" i="1"/>
  <c r="AC16" i="1"/>
  <c r="AC12" i="1"/>
  <c r="AC21" i="1"/>
  <c r="AC17" i="1"/>
  <c r="AC13" i="1"/>
  <c r="AC18" i="1"/>
  <c r="AC14" i="1"/>
  <c r="Q7" i="1"/>
  <c r="L7" i="1"/>
  <c r="N7" i="1" s="1"/>
  <c r="S7" i="1"/>
  <c r="U7" i="1" s="1"/>
  <c r="X7" i="1"/>
  <c r="AB7" i="1"/>
  <c r="K7" i="1"/>
  <c r="AC7" i="1" s="1"/>
  <c r="AA7" i="1" l="1"/>
  <c r="Y7" i="1"/>
  <c r="T7" i="1"/>
  <c r="V7" i="1" s="1"/>
  <c r="M7" i="1"/>
  <c r="O7" i="1" s="1"/>
  <c r="R7" i="1"/>
  <c r="Q11" i="1"/>
  <c r="X11" i="1"/>
  <c r="Q12" i="1"/>
  <c r="Q9" i="1"/>
  <c r="X9" i="1"/>
  <c r="R11" i="1" l="1"/>
  <c r="Y11" i="1"/>
  <c r="R12" i="1"/>
  <c r="Q23" i="1"/>
  <c r="Q24" i="1"/>
  <c r="X23" i="1"/>
  <c r="X24" i="1"/>
  <c r="R9" i="1"/>
  <c r="H28" i="1"/>
  <c r="H29" i="1" s="1"/>
  <c r="H30" i="1" s="1"/>
  <c r="H31" i="1" s="1"/>
  <c r="Y9" i="1"/>
  <c r="D28" i="1" l="1"/>
  <c r="L28" i="1" s="1"/>
  <c r="T28" i="1" s="1"/>
  <c r="X28" i="1" s="1"/>
  <c r="Y23" i="1"/>
  <c r="D29" i="1" s="1"/>
  <c r="L29" i="1" s="1"/>
  <c r="T29" i="1" s="1"/>
  <c r="X29" i="1" s="1"/>
  <c r="Y24" i="1"/>
  <c r="D30" i="1" s="1"/>
  <c r="L30" i="1" s="1"/>
  <c r="T30" i="1" s="1"/>
  <c r="X30" i="1" s="1"/>
  <c r="D31" i="1"/>
  <c r="L31" i="1" s="1"/>
  <c r="T31" i="1" s="1"/>
  <c r="X31" i="1" s="1"/>
  <c r="S11" i="1"/>
  <c r="Z11" i="1"/>
  <c r="S12" i="1"/>
  <c r="R23" i="1"/>
  <c r="R24" i="1"/>
  <c r="S9" i="1"/>
  <c r="Z9" i="1"/>
  <c r="T11" i="1" l="1"/>
  <c r="AA11" i="1"/>
  <c r="Z23" i="1"/>
  <c r="Z24" i="1"/>
  <c r="T12" i="1"/>
  <c r="S24" i="1"/>
  <c r="S23" i="1"/>
  <c r="T9" i="1"/>
  <c r="I28" i="1"/>
  <c r="I29" i="1" s="1"/>
  <c r="I30" i="1" s="1"/>
  <c r="I31" i="1" s="1"/>
  <c r="AA9" i="1"/>
  <c r="U12" i="1" l="1"/>
  <c r="T23" i="1"/>
  <c r="T24" i="1"/>
  <c r="E31" i="1"/>
  <c r="M31" i="1" s="1"/>
  <c r="U31" i="1" s="1"/>
  <c r="Y31" i="1" s="1"/>
  <c r="AA23" i="1"/>
  <c r="E29" i="1" s="1"/>
  <c r="M29" i="1" s="1"/>
  <c r="U29" i="1" s="1"/>
  <c r="Y29" i="1" s="1"/>
  <c r="E28" i="1"/>
  <c r="M28" i="1" s="1"/>
  <c r="U28" i="1" s="1"/>
  <c r="Y28" i="1" s="1"/>
  <c r="AA24" i="1"/>
  <c r="E30" i="1" s="1"/>
  <c r="M30" i="1" s="1"/>
  <c r="U30" i="1" s="1"/>
  <c r="Y30" i="1" s="1"/>
  <c r="U9" i="1"/>
  <c r="AB9" i="1"/>
  <c r="U11" i="1"/>
  <c r="AB11" i="1"/>
  <c r="V9" i="1" l="1"/>
  <c r="AC9" i="1"/>
  <c r="AB23" i="1"/>
  <c r="AB24" i="1"/>
  <c r="U24" i="1"/>
  <c r="U23" i="1"/>
  <c r="V12" i="1"/>
  <c r="V11" i="1"/>
  <c r="AC11" i="1"/>
  <c r="F31" i="1" l="1"/>
  <c r="AC23" i="1"/>
  <c r="F29" i="1" s="1"/>
  <c r="F28" i="1"/>
  <c r="AC24" i="1"/>
  <c r="F30" i="1" s="1"/>
  <c r="V24" i="1"/>
  <c r="V23" i="1"/>
  <c r="V30" i="1" l="1"/>
  <c r="Z30" i="1" s="1"/>
  <c r="N30" i="1"/>
  <c r="V28" i="1"/>
  <c r="Z28" i="1" s="1"/>
  <c r="N28" i="1"/>
  <c r="V29" i="1"/>
  <c r="Z29" i="1" s="1"/>
  <c r="N29" i="1"/>
  <c r="V31" i="1"/>
  <c r="Z31" i="1" s="1"/>
  <c r="N3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2">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futureMetadata>
  <cellMetadata count="1">
    <bk>
      <rc t="1" v="0"/>
    </bk>
  </cellMetadata>
  <valueMetadata count="12">
    <bk>
      <rc t="2" v="0"/>
    </bk>
    <bk>
      <rc t="2" v="1"/>
    </bk>
    <bk>
      <rc t="2" v="2"/>
    </bk>
    <bk>
      <rc t="2" v="3"/>
    </bk>
    <bk>
      <rc t="2" v="4"/>
    </bk>
    <bk>
      <rc t="2" v="5"/>
    </bk>
    <bk>
      <rc t="2" v="6"/>
    </bk>
    <bk>
      <rc t="2" v="7"/>
    </bk>
    <bk>
      <rc t="2" v="8"/>
    </bk>
    <bk>
      <rc t="2" v="9"/>
    </bk>
    <bk>
      <rc t="2" v="10"/>
    </bk>
    <bk>
      <rc t="2" v="11"/>
    </bk>
  </valueMetadata>
</metadata>
</file>

<file path=xl/sharedStrings.xml><?xml version="1.0" encoding="utf-8"?>
<sst xmlns="http://schemas.openxmlformats.org/spreadsheetml/2006/main" count="126" uniqueCount="75">
  <si>
    <t>Date</t>
  </si>
  <si>
    <t>Trading Multiples</t>
  </si>
  <si>
    <t>Current</t>
  </si>
  <si>
    <t>Share</t>
  </si>
  <si>
    <t>Enterprise</t>
  </si>
  <si>
    <t>Market</t>
  </si>
  <si>
    <t>Revenue</t>
  </si>
  <si>
    <t>EBITDA</t>
  </si>
  <si>
    <t>Net Income</t>
  </si>
  <si>
    <t>Revenue Growth</t>
  </si>
  <si>
    <t>EBITDA Margin</t>
  </si>
  <si>
    <t>Profit Margin</t>
  </si>
  <si>
    <t>EV / Revenue</t>
  </si>
  <si>
    <t>EV / EBITDA</t>
  </si>
  <si>
    <t>P / E</t>
  </si>
  <si>
    <t>Ticker</t>
  </si>
  <si>
    <t>Company Name</t>
  </si>
  <si>
    <t>Price</t>
  </si>
  <si>
    <t>Count</t>
  </si>
  <si>
    <t>Value</t>
  </si>
  <si>
    <t>Cap</t>
  </si>
  <si>
    <t>Mean</t>
  </si>
  <si>
    <t>Median</t>
  </si>
  <si>
    <t>2023 Trading Multiple</t>
  </si>
  <si>
    <t>2023 Financial Metric</t>
  </si>
  <si>
    <t>Enterprise Value</t>
  </si>
  <si>
    <t>Equity Value</t>
  </si>
  <si>
    <t>Implied Share Price</t>
  </si>
  <si>
    <t>Calculating Implied Share Price</t>
  </si>
  <si>
    <t>P/E</t>
  </si>
  <si>
    <t>EPS</t>
  </si>
  <si>
    <t>Cash</t>
  </si>
  <si>
    <t>Debt</t>
  </si>
  <si>
    <t>Shares</t>
  </si>
  <si>
    <t>Minimum</t>
  </si>
  <si>
    <t>Maximum</t>
  </si>
  <si>
    <t>Trading Comparables</t>
  </si>
  <si>
    <t>WEBSITE</t>
  </si>
  <si>
    <t>Cr.</t>
  </si>
  <si>
    <t>TICKER</t>
  </si>
  <si>
    <t>https://www.nseindia.com/static/market-data/securities-available-for-trading</t>
  </si>
  <si>
    <t>Bank Name</t>
  </si>
  <si>
    <t>Market Cap (₹ Cr)</t>
  </si>
  <si>
    <t>Revenue 2025 (₹ Cr)</t>
  </si>
  <si>
    <t>Revenue 2024 (₹ Cr)</t>
  </si>
  <si>
    <t>Revenue 2023 (₹ Cr)</t>
  </si>
  <si>
    <t>Net Income 2025 (₹ Cr)</t>
  </si>
  <si>
    <t>Net Income 2024 (₹ Cr)</t>
  </si>
  <si>
    <t>Net Income 2023 (₹ Cr)</t>
  </si>
  <si>
    <t>State Bank of India</t>
  </si>
  <si>
    <t>SBIN</t>
  </si>
  <si>
    <t>HDFC Bank</t>
  </si>
  <si>
    <t>HDFCBANK</t>
  </si>
  <si>
    <t>ICICI Bank</t>
  </si>
  <si>
    <t>ICICIBANK</t>
  </si>
  <si>
    <t>Axis Bank</t>
  </si>
  <si>
    <t>AXISBANK</t>
  </si>
  <si>
    <t>Kotak Mahindra Bank</t>
  </si>
  <si>
    <t>KOTAKBANK</t>
  </si>
  <si>
    <t>IndusInd Bank</t>
  </si>
  <si>
    <t>INDUSINDBK</t>
  </si>
  <si>
    <t>Bank of Baroda</t>
  </si>
  <si>
    <t>BANKBARODA</t>
  </si>
  <si>
    <t>Punjab National Bank</t>
  </si>
  <si>
    <t>PNB</t>
  </si>
  <si>
    <t>Canara Bank</t>
  </si>
  <si>
    <t>CANBK</t>
  </si>
  <si>
    <t>Union Bank of India</t>
  </si>
  <si>
    <t>UNIONBANK</t>
  </si>
  <si>
    <t>Federal Bank</t>
  </si>
  <si>
    <t>FEDERALBNK</t>
  </si>
  <si>
    <t>IDFC First Bank</t>
  </si>
  <si>
    <t>IDFCFIRSTB</t>
  </si>
  <si>
    <t>EBITDA 2024 (₹ Cr)</t>
  </si>
  <si>
    <t>EBITDA 2023 (₹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</si>
</sst>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x"/>
    <numFmt numFmtId="167" formatCode="_ [$₹-4009]\ * #,##0.00_ ;_ [$₹-4009]\ * \-#,##0.00_ ;_ [$₹-4009]\ * &quot;-&quot;??_ ;_ @_ "/>
  </numFmts>
  <fonts count="16" x14ac:knownFonts="1">
    <font>
      <sz val="11"/>
      <color theme="1"/>
      <name val="Calibri"/>
      <family val="2"/>
      <scheme val="minor"/>
    </font>
    <font>
      <sz val="11"/>
      <color theme="1"/>
      <name val="Calibri"/>
      <family val="2"/>
      <scheme val="minor"/>
    </font>
    <font>
      <b/>
      <sz val="16"/>
      <color theme="1"/>
      <name val="Calibri"/>
      <family val="2"/>
      <scheme val="minor"/>
    </font>
    <font>
      <b/>
      <sz val="12"/>
      <color rgb="FFC00000"/>
      <name val="Calibri"/>
      <family val="2"/>
      <scheme val="minor"/>
    </font>
    <font>
      <b/>
      <sz val="12"/>
      <color theme="1"/>
      <name val="Calibri"/>
      <family val="2"/>
      <scheme val="minor"/>
    </font>
    <font>
      <b/>
      <u val="singleAccounting"/>
      <sz val="12"/>
      <color theme="1"/>
      <name val="Calibri"/>
      <family val="2"/>
      <scheme val="minor"/>
    </font>
    <font>
      <sz val="12"/>
      <color theme="4"/>
      <name val="Calibri"/>
      <family val="2"/>
      <scheme val="minor"/>
    </font>
    <font>
      <u/>
      <sz val="11"/>
      <color theme="10"/>
      <name val="Calibri"/>
      <family val="2"/>
      <scheme val="minor"/>
    </font>
    <font>
      <i/>
      <sz val="11"/>
      <color theme="1"/>
      <name val="Calibri"/>
      <family val="2"/>
      <scheme val="minor"/>
    </font>
    <font>
      <sz val="11"/>
      <color theme="4"/>
      <name val="Calibri"/>
      <family val="2"/>
      <scheme val="minor"/>
    </font>
    <font>
      <u/>
      <sz val="11"/>
      <color theme="9"/>
      <name val="Calibri"/>
      <family val="2"/>
      <scheme val="minor"/>
    </font>
    <font>
      <sz val="11"/>
      <color theme="9"/>
      <name val="Calibri"/>
      <family val="2"/>
      <scheme val="minor"/>
    </font>
    <font>
      <b/>
      <sz val="11"/>
      <color theme="1"/>
      <name val="Arial"/>
      <family val="2"/>
    </font>
    <font>
      <sz val="11"/>
      <color theme="1"/>
      <name val="Arial"/>
      <family val="2"/>
    </font>
    <font>
      <sz val="10"/>
      <color theme="1"/>
      <name val="Segoe UI"/>
      <family val="2"/>
    </font>
    <font>
      <sz val="11"/>
      <color rgb="FF000000"/>
      <name val="Source Sans Pro"/>
      <family val="2"/>
    </font>
  </fonts>
  <fills count="6">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2F2F2"/>
        <bgColor indexed="64"/>
      </patternFill>
    </fill>
  </fills>
  <borders count="1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style="medium">
        <color rgb="FFDDDDDD"/>
      </left>
      <right style="medium">
        <color rgb="FFDDDDDD"/>
      </right>
      <top style="medium">
        <color rgb="FFDDDDDD"/>
      </top>
      <bottom style="medium">
        <color rgb="FFDDDDDD"/>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69">
    <xf numFmtId="0" fontId="0" fillId="0" borderId="0" xfId="0"/>
    <xf numFmtId="0" fontId="2" fillId="0" borderId="1" xfId="0" applyFont="1" applyBorder="1"/>
    <xf numFmtId="0" fontId="0" fillId="0" borderId="1" xfId="0" applyBorder="1"/>
    <xf numFmtId="0" fontId="3" fillId="0" borderId="1" xfId="0" applyFont="1" applyBorder="1" applyAlignment="1">
      <alignment horizontal="center"/>
    </xf>
    <xf numFmtId="0" fontId="4" fillId="3" borderId="0" xfId="0" applyFont="1" applyFill="1" applyAlignment="1">
      <alignment vertical="center"/>
    </xf>
    <xf numFmtId="0" fontId="0" fillId="3" borderId="0" xfId="0" applyFill="1" applyAlignment="1">
      <alignment horizontal="right" vertical="center"/>
    </xf>
    <xf numFmtId="0" fontId="4" fillId="3" borderId="0" xfId="0" applyFont="1" applyFill="1" applyAlignment="1">
      <alignment horizontal="center" vertical="center"/>
    </xf>
    <xf numFmtId="0" fontId="5" fillId="3" borderId="0" xfId="0" applyFont="1" applyFill="1" applyAlignment="1">
      <alignment horizontal="centerContinuous" vertical="center"/>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4" fillId="3" borderId="1" xfId="0" quotePrefix="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quotePrefix="1" applyFont="1" applyAlignment="1">
      <alignment horizontal="center" vertical="center"/>
    </xf>
    <xf numFmtId="0" fontId="0" fillId="0" borderId="2" xfId="0" applyBorder="1"/>
    <xf numFmtId="164" fontId="0" fillId="0" borderId="2" xfId="1" applyNumberFormat="1" applyFont="1" applyBorder="1" applyAlignment="1">
      <alignment horizontal="center"/>
    </xf>
    <xf numFmtId="165" fontId="0" fillId="0" borderId="2" xfId="0" applyNumberFormat="1" applyBorder="1" applyAlignment="1">
      <alignment horizontal="center"/>
    </xf>
    <xf numFmtId="0" fontId="6" fillId="0" borderId="0" xfId="0" applyFont="1"/>
    <xf numFmtId="0" fontId="0" fillId="0" borderId="0" xfId="0" applyAlignment="1">
      <alignment horizontal="center"/>
    </xf>
    <xf numFmtId="3" fontId="0" fillId="0" borderId="0" xfId="0" applyNumberFormat="1" applyAlignment="1">
      <alignment horizontal="center" vertical="center"/>
    </xf>
    <xf numFmtId="164" fontId="0" fillId="0" borderId="0" xfId="1" applyNumberFormat="1" applyFont="1" applyBorder="1" applyAlignment="1">
      <alignment horizontal="center"/>
    </xf>
    <xf numFmtId="165" fontId="0" fillId="0" borderId="0" xfId="0" applyNumberFormat="1" applyAlignment="1">
      <alignment horizontal="center"/>
    </xf>
    <xf numFmtId="164" fontId="0" fillId="0" borderId="0" xfId="1" applyNumberFormat="1" applyFont="1" applyAlignment="1">
      <alignment horizontal="center"/>
    </xf>
    <xf numFmtId="0" fontId="4" fillId="4" borderId="3" xfId="0" applyFont="1" applyFill="1" applyBorder="1"/>
    <xf numFmtId="0" fontId="0" fillId="4" borderId="4" xfId="0" applyFill="1" applyBorder="1"/>
    <xf numFmtId="164" fontId="4" fillId="4" borderId="4" xfId="0" applyNumberFormat="1" applyFont="1" applyFill="1" applyBorder="1" applyAlignment="1">
      <alignment horizontal="center"/>
    </xf>
    <xf numFmtId="165" fontId="4" fillId="4" borderId="4" xfId="0" applyNumberFormat="1" applyFont="1" applyFill="1" applyBorder="1" applyAlignment="1">
      <alignment horizontal="center"/>
    </xf>
    <xf numFmtId="165" fontId="4" fillId="4" borderId="5" xfId="0" applyNumberFormat="1" applyFont="1" applyFill="1" applyBorder="1" applyAlignment="1">
      <alignment horizontal="center"/>
    </xf>
    <xf numFmtId="0" fontId="4" fillId="4" borderId="6" xfId="0" applyFont="1" applyFill="1" applyBorder="1"/>
    <xf numFmtId="0" fontId="0" fillId="4" borderId="1" xfId="0" applyFill="1" applyBorder="1"/>
    <xf numFmtId="164" fontId="4" fillId="4" borderId="1" xfId="0" applyNumberFormat="1" applyFont="1" applyFill="1" applyBorder="1" applyAlignment="1">
      <alignment horizontal="center"/>
    </xf>
    <xf numFmtId="165" fontId="4" fillId="4" borderId="1" xfId="0" applyNumberFormat="1" applyFont="1" applyFill="1" applyBorder="1" applyAlignment="1">
      <alignment horizontal="center"/>
    </xf>
    <xf numFmtId="165" fontId="4" fillId="4" borderId="7" xfId="0" applyNumberFormat="1" applyFont="1" applyFill="1" applyBorder="1" applyAlignment="1">
      <alignment horizontal="center"/>
    </xf>
    <xf numFmtId="165" fontId="0" fillId="0" borderId="0" xfId="0" applyNumberFormat="1" applyAlignment="1">
      <alignment horizontal="center" vertical="center"/>
    </xf>
    <xf numFmtId="3" fontId="0" fillId="0" borderId="0" xfId="0" applyNumberFormat="1"/>
    <xf numFmtId="3" fontId="0" fillId="0" borderId="0" xfId="0" quotePrefix="1" applyNumberFormat="1" applyAlignment="1">
      <alignment horizontal="center" vertical="center"/>
    </xf>
    <xf numFmtId="3" fontId="0" fillId="0" borderId="0" xfId="0" applyNumberFormat="1" applyAlignment="1">
      <alignment horizontal="center"/>
    </xf>
    <xf numFmtId="1" fontId="0" fillId="0" borderId="0" xfId="0" quotePrefix="1" applyNumberFormat="1" applyAlignment="1">
      <alignment horizontal="center" vertical="center"/>
    </xf>
    <xf numFmtId="0" fontId="4" fillId="0" borderId="1" xfId="0" applyFont="1" applyBorder="1"/>
    <xf numFmtId="14" fontId="0" fillId="2" borderId="8" xfId="0" applyNumberFormat="1" applyFill="1" applyBorder="1" applyAlignment="1">
      <alignment horizontal="center" vertical="center"/>
    </xf>
    <xf numFmtId="0" fontId="0" fillId="0" borderId="0" xfId="0" applyAlignment="1">
      <alignment vertical="center" wrapText="1"/>
    </xf>
    <xf numFmtId="0" fontId="8" fillId="0" borderId="0" xfId="0" applyFont="1" applyAlignment="1">
      <alignment horizontal="center"/>
    </xf>
    <xf numFmtId="14" fontId="7" fillId="2" borderId="8" xfId="2" applyNumberFormat="1" applyFill="1" applyBorder="1" applyAlignment="1">
      <alignment horizontal="center" vertical="center"/>
    </xf>
    <xf numFmtId="3" fontId="9" fillId="0" borderId="0" xfId="0" applyNumberFormat="1" applyFont="1" applyAlignment="1">
      <alignment horizontal="center" vertical="center"/>
    </xf>
    <xf numFmtId="164" fontId="10" fillId="0" borderId="2" xfId="2" applyNumberFormat="1" applyFont="1" applyBorder="1" applyAlignment="1">
      <alignment horizontal="center"/>
    </xf>
    <xf numFmtId="164" fontId="11" fillId="0" borderId="0" xfId="1" applyNumberFormat="1" applyFont="1" applyBorder="1" applyAlignment="1">
      <alignment horizontal="center"/>
    </xf>
    <xf numFmtId="164" fontId="10" fillId="0" borderId="0" xfId="2" applyNumberFormat="1" applyFont="1" applyBorder="1" applyAlignment="1">
      <alignment horizontal="center"/>
    </xf>
    <xf numFmtId="0" fontId="7" fillId="0" borderId="0" xfId="2"/>
    <xf numFmtId="0" fontId="12" fillId="5" borderId="9" xfId="0" applyFont="1" applyFill="1" applyBorder="1" applyAlignment="1">
      <alignment horizontal="left" vertical="center" wrapText="1"/>
    </xf>
    <xf numFmtId="0" fontId="13" fillId="0" borderId="9" xfId="0" applyFont="1" applyBorder="1" applyAlignment="1">
      <alignment horizontal="left" vertical="center" wrapText="1"/>
    </xf>
    <xf numFmtId="3" fontId="13" fillId="0" borderId="9" xfId="0" applyNumberFormat="1" applyFont="1" applyBorder="1" applyAlignment="1">
      <alignment horizontal="left" vertical="center" wrapText="1"/>
    </xf>
    <xf numFmtId="0" fontId="12" fillId="5" borderId="9" xfId="0" applyFont="1" applyFill="1" applyBorder="1" applyAlignment="1">
      <alignment horizontal="left" vertical="center"/>
    </xf>
    <xf numFmtId="0" fontId="13" fillId="0" borderId="9" xfId="0" applyFont="1" applyBorder="1" applyAlignment="1">
      <alignment horizontal="left" vertical="center"/>
    </xf>
    <xf numFmtId="3" fontId="13" fillId="0" borderId="9" xfId="0" applyNumberFormat="1" applyFont="1" applyBorder="1" applyAlignment="1">
      <alignment horizontal="left" vertical="center"/>
    </xf>
    <xf numFmtId="3" fontId="9" fillId="0" borderId="0" xfId="0" applyNumberFormat="1" applyFont="1" applyBorder="1" applyAlignment="1">
      <alignment horizontal="center" vertical="center"/>
    </xf>
    <xf numFmtId="1" fontId="6" fillId="2" borderId="0" xfId="0" quotePrefix="1" applyNumberFormat="1" applyFont="1" applyFill="1" applyAlignment="1">
      <alignment horizontal="center" vertical="center"/>
    </xf>
    <xf numFmtId="3" fontId="9" fillId="2" borderId="0" xfId="0" applyNumberFormat="1" applyFont="1" applyFill="1" applyBorder="1" applyAlignment="1">
      <alignment horizontal="left" vertical="center"/>
    </xf>
    <xf numFmtId="3" fontId="9" fillId="2" borderId="2" xfId="0" applyNumberFormat="1" applyFont="1" applyFill="1" applyBorder="1" applyAlignment="1">
      <alignment horizontal="left" vertical="center"/>
    </xf>
    <xf numFmtId="167" fontId="9" fillId="0" borderId="2" xfId="0" applyNumberFormat="1" applyFont="1" applyBorder="1" applyAlignment="1">
      <alignment horizontal="center"/>
    </xf>
    <xf numFmtId="3" fontId="9" fillId="0" borderId="2" xfId="0" applyNumberFormat="1" applyFont="1" applyBorder="1" applyAlignment="1">
      <alignment horizontal="center" vertical="center"/>
    </xf>
    <xf numFmtId="4" fontId="9" fillId="0" borderId="2" xfId="0" applyNumberFormat="1" applyFont="1" applyBorder="1" applyAlignment="1">
      <alignment horizontal="center" vertical="center"/>
    </xf>
    <xf numFmtId="0" fontId="9" fillId="0" borderId="0" xfId="0" applyFont="1" applyAlignment="1">
      <alignment horizontal="center"/>
    </xf>
    <xf numFmtId="167" fontId="9" fillId="0" borderId="0" xfId="0" applyNumberFormat="1" applyFont="1" applyAlignment="1">
      <alignment horizontal="center"/>
    </xf>
    <xf numFmtId="4" fontId="9" fillId="0" borderId="0" xfId="0" applyNumberFormat="1" applyFont="1" applyAlignment="1">
      <alignment horizontal="center" vertical="center"/>
    </xf>
    <xf numFmtId="3" fontId="9" fillId="2" borderId="0" xfId="0" applyNumberFormat="1" applyFont="1" applyFill="1" applyBorder="1" applyAlignment="1">
      <alignment horizontal="left" vertical="center" wrapText="1"/>
    </xf>
    <xf numFmtId="3" fontId="9" fillId="2" borderId="2" xfId="0" applyNumberFormat="1" applyFont="1" applyFill="1" applyBorder="1" applyAlignment="1">
      <alignment horizontal="left" vertical="center" wrapText="1"/>
    </xf>
    <xf numFmtId="2" fontId="0" fillId="0" borderId="0" xfId="0" quotePrefix="1" applyNumberFormat="1" applyAlignment="1">
      <alignment vertical="center"/>
    </xf>
    <xf numFmtId="3" fontId="14" fillId="2" borderId="0" xfId="0" applyNumberFormat="1" applyFont="1" applyFill="1"/>
    <xf numFmtId="0" fontId="15" fillId="0" borderId="0" xfId="0" applyFo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3">
  <rv s="0">
    <v>https://www.bing.com/financeapi/forcetrigger?t=ahju6h&amp;q=XNSE%3aSBIN&amp;form=skydnc</v>
    <v>Learn more on Bing</v>
  </rv>
  <rv s="1">
    <v>en-IN</v>
    <v>ahju6h</v>
    <v>268435456</v>
    <v>1</v>
    <v>Powered by Refinitiv</v>
    <v>0</v>
    <v>State Bank of India (XNSE:SBIN)</v>
    <v>2</v>
    <v>3</v>
    <v>Finance</v>
    <v>4</v>
    <v>1089.8</v>
    <v>680</v>
    <v>0.99760000000000004</v>
    <v>5.3</v>
    <v>4.9619999999999994E-3</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1081</v>
    <v>Banking Services</v>
    <v>Stock</v>
    <v>46058.467094907406</v>
    <v>0</v>
    <v>1067.5</v>
    <v>9493229000000</v>
    <v>State Bank of India</v>
    <v>State Bank of India</v>
    <v>1068.2</v>
    <v>11.92</v>
    <v>1068.2</v>
    <v>1073.5</v>
    <v>9230617000</v>
    <v>SBIN</v>
    <v>State Bank of India (XNSE:SBIN)</v>
    <v>9551567</v>
    <v>12372050</v>
  </rv>
  <rv s="2">
    <v>1</v>
  </rv>
  <rv s="0">
    <v>https://www.bing.com/financeapi/forcetrigger?t=ahi3jc&amp;q=XNSE%3aHDFCBANK&amp;form=skydnc</v>
    <v>Learn more on Bing</v>
  </rv>
  <rv s="3">
    <v>en-IN</v>
    <v>ahi3jc</v>
    <v>268435456</v>
    <v>1</v>
    <v>Powered by Refinitiv</v>
    <v>5</v>
    <v>HDFC BANK LIMITED (XNSE:HDFCBANK)</v>
    <v>2</v>
    <v>6</v>
    <v>Finance</v>
    <v>4</v>
    <v>1020.5</v>
    <v>828.49</v>
    <v>0.93440000000000001</v>
    <v>-3.4</v>
    <v>-3.5670000000000003E-3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National Stock Exchange of India</v>
    <v>XNSE</v>
    <v>XNSE</v>
    <v>'Hdfc Bank House', Senapati Bapat Road, Lower Parel (West), Mumbai India, MUMBAI, MAHARASHTRA, 400013 IN</v>
    <v>956.05</v>
    <v>Banking Services</v>
    <v>Stock</v>
    <v>46058.467094907406</v>
    <v>3</v>
    <v>946.7</v>
    <v>14420670000000</v>
    <v>HDFC BANK LIMITED</v>
    <v>HDFC BANK LIMITED</v>
    <v>956</v>
    <v>19.62</v>
    <v>953.1</v>
    <v>949.7</v>
    <v>15388020000</v>
    <v>HDFCBANK</v>
    <v>HDFC BANK LIMITED (XNSE:HDFCBANK)</v>
    <v>28103169</v>
    <v>33498940</v>
    <v>1994</v>
  </rv>
  <rv s="2">
    <v>4</v>
  </rv>
  <rv s="0">
    <v>http://en.wikipedia.org/wiki/Public_domain</v>
    <v>Public domain</v>
  </rv>
  <rv s="0">
    <v>http://zh.wikipedia.org/wiki/ICICI银行</v>
    <v>Wikipedia</v>
  </rv>
  <rv s="4">
    <v>6</v>
    <v>7</v>
  </rv>
  <rv s="5">
    <v>11</v>
    <v>https://www.bing.com/th?id=AMMS_7a55564cbcf9b185c2bd50f7f3a85b23&amp;qlt=95</v>
    <v>8</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1500</v>
    <v>1200.0999999999999</v>
    <v>0.92830000000000001</v>
    <v>-11.9</v>
    <v>-8.4489999999999999E-3</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National Stock Exchange of India</v>
    <v>XNSE</v>
    <v>XNSE</v>
    <v>ICICI Bank Towers, Bandra-Kurla Complex, MUMBAI, MAHARASHTRA, 400051 IN</v>
    <v>1414</v>
    <v>9</v>
    <v>Banking Services</v>
    <v>Stock</v>
    <v>46058.467106481483</v>
    <v>10</v>
    <v>1393.2</v>
    <v>10272960000000</v>
    <v>ICICI BANK LIMITED</v>
    <v>ICICI BANK LIMITED</v>
    <v>1414</v>
    <v>18.93</v>
    <v>1408.4</v>
    <v>1396.5</v>
    <v>7153583000</v>
    <v>ICICIBANK</v>
    <v>ICICI BANK LIMITED (XNSE:ICICIBANK)</v>
    <v>8982761</v>
    <v>17062180</v>
    <v>1994</v>
  </rv>
  <rv s="2">
    <v>11</v>
  </rv>
  <rv s="0">
    <v>https://www.bing.com/financeapi/forcetrigger?t=ahh2gh&amp;q=XNSE%3aAXISBANK&amp;form=skydnc</v>
    <v>Learn more on Bing</v>
  </rv>
  <rv s="3">
    <v>en-IN</v>
    <v>ahh2gh</v>
    <v>268435456</v>
    <v>1</v>
    <v>Powered by Refinitiv</v>
    <v>5</v>
    <v>AXIS BANK LIMITED (XNSE:AXISBANK)</v>
    <v>2</v>
    <v>6</v>
    <v>Finance</v>
    <v>4</v>
    <v>1418.3</v>
    <v>978.05</v>
    <v>1.1142000000000001</v>
    <v>-8.1</v>
    <v>-6.051E-3</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1340</v>
    <v>Banking Services</v>
    <v>Stock</v>
    <v>46058.467106481483</v>
    <v>13</v>
    <v>1317.4</v>
    <v>3918788000000</v>
    <v>AXIS BANK LIMITED</v>
    <v>AXIS BANK LIMITED</v>
    <v>1340</v>
    <v>15.8</v>
    <v>1338.7</v>
    <v>1330.6</v>
    <v>3105897000</v>
    <v>AXISBANK</v>
    <v>AXIS BANK LIMITED (XNSE:AXISBANK)</v>
    <v>3766488</v>
    <v>11256900</v>
    <v>1993</v>
  </rv>
  <rv s="2">
    <v>14</v>
  </rv>
  <rv s="0">
    <v>https://www.bing.com/financeapi/forcetrigger?t=ahinjc&amp;q=XNSE%3aKOTAKBANK&amp;form=skydnc</v>
    <v>Learn more on Bing</v>
  </rv>
  <rv s="3">
    <v>en-IN</v>
    <v>ahinjc</v>
    <v>268435456</v>
    <v>1</v>
    <v>Powered by Refinitiv</v>
    <v>5</v>
    <v>KOTAK MAHINDRA BANK LIMITED (XNSE:KOTAKBANK)</v>
    <v>2</v>
    <v>6</v>
    <v>Finance</v>
    <v>4</v>
    <v>460.38</v>
    <v>375.44</v>
    <v>0.88770000000000004</v>
    <v>-3.6</v>
    <v>-8.7299999999999999E-3</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413.95</v>
    <v>Banking Services</v>
    <v>Stock</v>
    <v>46058.467094907406</v>
    <v>16</v>
    <v>404.1</v>
    <v>4241952000000</v>
    <v>KOTAK MAHINDRA BANK LIMITED</v>
    <v>KOTAK MAHINDRA BANK LIMITED</v>
    <v>411</v>
    <v>21.81</v>
    <v>412.35</v>
    <v>408.75</v>
    <v>10946460000</v>
    <v>KOTAKBANK</v>
    <v>KOTAK MAHINDRA BANK LIMITED (XNSE:KOTAKBANK)</v>
    <v>24814864</v>
    <v>20457310</v>
    <v>1985</v>
  </rv>
  <rv s="2">
    <v>17</v>
  </rv>
  <rv s="0">
    <v>https://www.bing.com/financeapi/forcetrigger?t=ahibur&amp;q=XNSE%3aINDUSINDBK&amp;form=skydnc</v>
    <v>Learn more on Bing</v>
  </rv>
  <rv s="3">
    <v>en-IN</v>
    <v>ahibur</v>
    <v>268435456</v>
    <v>1</v>
    <v>Powered by Refinitiv</v>
    <v>5</v>
    <v>INDUSIND BANK LTD. (XNSE:INDUSINDBK)</v>
    <v>2</v>
    <v>6</v>
    <v>Finance</v>
    <v>4</v>
    <v>1086.55</v>
    <v>606</v>
    <v>1.1476</v>
    <v>-6.9</v>
    <v>-7.489E-3</v>
    <v>INR</v>
    <v>IndusInd Bank Limited (the Bank) is engaged in providing financial services. The Bank offers a wide range of products and services for individuals and corporates, including microfinance, personal loans, personal and commercial vehicle loans, credit cards and small to medium enterprise (SME) loans. The Bank's segments include Treasury, Corporate/ Wholesale Banking, Retail Banking, and Other Banking Operation. The Treasury segment includes all investment portfolios, profit/ loss on sale of investments, profit/ loss on foreign exchange transactions, equities, income from derivatives and money market operations. The Corporate/ Wholesale Banking segment includes lending to and deposits from corporate customers and identified earnings and expenses of the segment. The Retail Banking segment includes lending to and deposits from retail customers and identifies earnings and expenses of the segment. The Retail Banking segment is sub-divided into Digital Banking and Other Retail Banking segment.</v>
    <v>44974</v>
    <v>National Stock Exchange of India</v>
    <v>XNSE</v>
    <v>XNSE</v>
    <v>8th floor, Tower 1, One World Center, Senapati Bapat Marg, Elphinstone Road (W), MUMBAI, MAHARASHTRA, 400013 IN</v>
    <v>922.15</v>
    <v>Banking Services</v>
    <v>Stock</v>
    <v>46058.467106481483</v>
    <v>19</v>
    <v>902.3</v>
    <v>709387600000</v>
    <v>INDUSIND BANK LTD.</v>
    <v>INDUSIND BANK LTD.</v>
    <v>918.1</v>
    <v>0</v>
    <v>921.3</v>
    <v>914.4</v>
    <v>779076100</v>
    <v>INDUSINDBK</v>
    <v>INDUSIND BANK LTD. (XNSE:INDUSINDBK)</v>
    <v>2552518</v>
    <v>4568240</v>
    <v>1994</v>
  </rv>
  <rv s="2">
    <v>20</v>
  </rv>
  <rv s="0">
    <v>https://www.bing.com/financeapi/forcetrigger?t=ahh4nm&amp;q=XNSE%3aBANKBARODA&amp;form=skydnc</v>
    <v>Learn more on Bing</v>
  </rv>
  <rv s="3">
    <v>en-IN</v>
    <v>ahh4nm</v>
    <v>268435456</v>
    <v>1</v>
    <v>Powered by Refinitiv</v>
    <v>5</v>
    <v>THE BANK OF BARODA LIMITED (XNSE:BANKBARODA)</v>
    <v>2</v>
    <v>6</v>
    <v>Finance</v>
    <v>4</v>
    <v>313.35000000000002</v>
    <v>190.7</v>
    <v>1.2265999999999999</v>
    <v>-0.4</v>
    <v>-1.3750000000000001E-3</v>
    <v>INR</v>
    <v>The Bank of Baroda Limited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such as bob world merchant (POS), bob world tab, bobworld digital rupee, debit card e-mandate, tokenisation, instant banking, cards, FASTag, phone banking, doorstep banking, automated teller machines (ATMs) and kiosks, and others. It offers a range of loans, such as home loans, vehicle loans, personal loans, baroda yoddha loans for defense personnel, education loans, other loans, gold loans, mortgage loans, and fintech. It offers range of insurance, such as general insurance, life insurance, and standalone health insurance. The Bank has 8,463 branches, and 9,316 ATMs.</v>
    <v>75008</v>
    <v>National Stock Exchange of India</v>
    <v>XNSE</v>
    <v>XNSE</v>
    <v>Baroda Corporate Centre, Plot No. C-26, Block G, Bandra Kurla Complex, Bandra (East), MUMBAI, MAHARASHTRA, 400051 IN</v>
    <v>293.10000000000002</v>
    <v>Banking Services</v>
    <v>Stock</v>
    <v>46058.467106481483</v>
    <v>22</v>
    <v>289.05</v>
    <v>1560976000000</v>
    <v>THE BANK OF BARODA LIMITED</v>
    <v>THE BANK OF BARODA LIMITED</v>
    <v>291.39999999999998</v>
    <v>7.73</v>
    <v>290.85000000000002</v>
    <v>290.45</v>
    <v>5171362000</v>
    <v>BANKBARODA</v>
    <v>THE BANK OF BARODA LIMITED (XNSE:BANKBARODA)</v>
    <v>4970798</v>
    <v>12189000</v>
    <v>1911</v>
  </rv>
  <rv s="2">
    <v>23</v>
  </rv>
  <rv s="0">
    <v>https://www.bing.com/financeapi/forcetrigger?t=ahjg7w&amp;q=XNSE%3aPNB&amp;form=skydnc</v>
    <v>Learn more on Bing</v>
  </rv>
  <rv s="3">
    <v>en-IN</v>
    <v>ahjg7w</v>
    <v>268435456</v>
    <v>1</v>
    <v>Powered by Refinitiv</v>
    <v>5</v>
    <v>Punjab National Bank (XNSE:PNB)</v>
    <v>2</v>
    <v>6</v>
    <v>Finance</v>
    <v>4</v>
    <v>135.15</v>
    <v>85.46</v>
    <v>1.4064000000000001</v>
    <v>0.45</v>
    <v>3.6389999999999999E-3</v>
    <v>INR</v>
    <v>Punjab National Bank is an India-based bank. The Company's segments include Treasury, Corporate/Wholesale Banking, Retail Banking and Other Banking Operations. Its product categories include personal, corporate, international and capital services. Its personal products include deposit, loans, approved housing projects, accounts, insurance, government business, financial inclusion and priority sector. Its corporate products include corporate loans, forex services offered to exporter and importer, cash management services, and gold card scheme for exporters. The Company's international products include foreign exchange (FX) retail platform, Libor transition, schemes/products/services, non-resident Indian (NRI) services, help desk for forex services and world travel card. Its capital services include depository services, mutual funds, merchant banking and application supported by blocked amount. Its e-services include retail Internet banking, e-statement, SMS banking and point of sale.</v>
    <v>102746</v>
    <v>National Stock Exchange of India</v>
    <v>XNSE</v>
    <v>XNSE</v>
    <v>Plot No 4, Sector -10, Dwarka, NEW DELHI, DELHI, 110075 IN</v>
    <v>124.95</v>
    <v>Banking Services</v>
    <v>Stock</v>
    <v>46058.467118055552</v>
    <v>25</v>
    <v>123.17</v>
    <v>1431101000000</v>
    <v>Punjab National Bank</v>
    <v>Punjab National Bank</v>
    <v>123.5</v>
    <v>7.99</v>
    <v>123.65</v>
    <v>124.1</v>
    <v>11492940000</v>
    <v>PNB</v>
    <v>Punjab National Bank (XNSE:PNB)</v>
    <v>10883117</v>
    <v>17015620</v>
    <v>1894</v>
  </rv>
  <rv s="2">
    <v>26</v>
  </rv>
  <rv s="0">
    <v>http://en.wikipedia.org/wiki/Canara_Bank</v>
    <v>Wikipedia</v>
  </rv>
  <rv s="4">
    <v>6</v>
    <v>28</v>
  </rv>
  <rv s="5">
    <v>11</v>
    <v>https://www.bing.com/th?id=AMMS_c85087fd4a4a5af8fc014bd99fcebd02&amp;qlt=95</v>
    <v>29</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160.79</v>
    <v>78.599999999999994</v>
    <v>1.6166</v>
    <v>0.79</v>
    <v>5.3559999999999997E-3</v>
    <v>INR</v>
    <v>The 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Its products and services include personal banking and corporate banking. Its personal banking includes depository services, mutual funds, technology products, retail loan products, micro, small and medium enterprise loan products and card services. Its corporate banking includes accounts and deposits, supply chain finance management, syndication services and technology upgradation fund schemes, among others. It also offers the depository services. It offers unbanked rural people with basic savings deposit accounts, PMJDY Overdraft Facilities and credit facilities under products, such as differential rate of interest scheme, Kisan Credit Card Scheme and various other credit products.</v>
    <v>81260</v>
    <v>National Stock Exchange of India</v>
    <v>XNSE</v>
    <v>XNSE</v>
    <v>Head Office No.112, J C Road, BANGALORE, KARNATAKA, 560002 IN</v>
    <v>149.58000000000001</v>
    <v>30</v>
    <v>Banking Services</v>
    <v>Stock</v>
    <v>46058.467118055552</v>
    <v>31</v>
    <v>147.57</v>
    <v>1368399000000</v>
    <v>THE CANARA BANK LIMITED</v>
    <v>THE CANARA BANK LIMITED</v>
    <v>148</v>
    <v>6.62</v>
    <v>147.5</v>
    <v>148.29</v>
    <v>9070651000</v>
    <v>CANBK</v>
    <v>THE CANARA BANK LIMITED (XNSE:CANBK)</v>
    <v>16041047</v>
    <v>35500590</v>
    <v>1906</v>
  </rv>
  <rv s="2">
    <v>32</v>
  </rv>
  <rv s="0">
    <v>https://www.bing.com/financeapi/forcetrigger?t=ahkhjc&amp;q=XNSE%3aUNIONBANK&amp;form=skydnc</v>
    <v>Learn more on Bing</v>
  </rv>
  <rv s="3">
    <v>en-IN</v>
    <v>ahkhjc</v>
    <v>268435456</v>
    <v>1</v>
    <v>Powered by Refinitiv</v>
    <v>5</v>
    <v>UNION BANK OF INDIA LIMITED (XNSE:UNIONBANK)</v>
    <v>2</v>
    <v>6</v>
    <v>Finance</v>
    <v>4</v>
    <v>183.34</v>
    <v>106.63</v>
    <v>1.0065999999999999</v>
    <v>1.81</v>
    <v>1.0278000000000001E-2</v>
    <v>INR</v>
    <v>Union Bank of India Limited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an online donation facility. It provides digital services, such as app banking, Internet banking, automated teller machine banking, self-service banking and immediate payment service (IMPS). It also provides foreign currency loans.</v>
    <v>73945</v>
    <v>National Stock Exchange of India</v>
    <v>XNSE</v>
    <v>XNSE</v>
    <v>Union Bank Bhavan, 239, Vidhan Bhavan Marg, Nariman Point, MUMBAI, MAHARASHTRA, 400021 IN</v>
    <v>179.2</v>
    <v>Banking Services</v>
    <v>Stock</v>
    <v>46058.467118055552</v>
    <v>34</v>
    <v>175.51</v>
    <v>1268629000000</v>
    <v>UNION BANK OF INDIA LIMITED</v>
    <v>UNION BANK OF INDIA LIMITED</v>
    <v>176.11</v>
    <v>7.1</v>
    <v>176.11</v>
    <v>177.92</v>
    <v>7633605000</v>
    <v>UNIONBANK</v>
    <v>UNION BANK OF INDIA LIMITED (XNSE:UNIONBANK)</v>
    <v>11292976</v>
    <v>18944390</v>
    <v>1919</v>
  </rv>
  <rv s="2">
    <v>35</v>
  </rv>
  <rv s="0">
    <v>https://www.bing.com/financeapi/forcetrigger?t=ahhr77&amp;q=XNSE%3aFEDERALBNK&amp;form=skydnc</v>
    <v>Learn more on Bing</v>
  </rv>
  <rv s="3">
    <v>en-IN</v>
    <v>ahhr77</v>
    <v>268435456</v>
    <v>1</v>
    <v>Powered by Refinitiv</v>
    <v>5</v>
    <v>THE FEDERAL BANK LTD (XNSE:FEDERALBNK)</v>
    <v>2</v>
    <v>6</v>
    <v>Finance</v>
    <v>4</v>
    <v>298.25</v>
    <v>172.66</v>
    <v>0.79410000000000003</v>
    <v>0.2</v>
    <v>6.9589999999999995E-4</v>
    <v>INR</v>
    <v>The Federal Bank Limited (the Bank) is a banking company. The Bank is engaged in providing banking and financial services, including commercial banking, retail and corporate banking, project and corporate finance, working capital finance, insurance and treasury products and services. Its segment includes Treasury, Corporate/Wholesale Banking, Retail Banking, and other banking operations.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v>
    <v>16111</v>
    <v>National Stock Exchange of India</v>
    <v>XNSE</v>
    <v>XNSE</v>
    <v>Federal Towers, P. B. No. 103,, Alwaye, ERNAKULAM, KERALA, 683101 IN</v>
    <v>289.14999999999998</v>
    <v>Banking Services</v>
    <v>Stock</v>
    <v>46058.467094907406</v>
    <v>37</v>
    <v>285.39999999999998</v>
    <v>613857500000</v>
    <v>THE FEDERAL BANK LTD</v>
    <v>THE FEDERAL BANK LTD</v>
    <v>287.89999999999998</v>
    <v>17.23</v>
    <v>287.39999999999998</v>
    <v>287.60000000000002</v>
    <v>2462875000</v>
    <v>FEDERALBNK</v>
    <v>THE FEDERAL BANK LTD (XNSE:FEDERALBNK)</v>
    <v>2481799</v>
    <v>9380830</v>
    <v>1931</v>
  </rv>
  <rv s="2">
    <v>38</v>
  </rv>
  <rv s="0">
    <v>https://www.bing.com/financeapi/forcetrigger?t=ahi8zr&amp;q=XNSE%3aIDFCFIRSTB&amp;form=skydnc</v>
    <v>Learn more on Bing</v>
  </rv>
  <rv s="3">
    <v>en-IN</v>
    <v>ahi8zr</v>
    <v>268435456</v>
    <v>1</v>
    <v>Powered by Refinitiv</v>
    <v>5</v>
    <v>IDFC FIRST BANK LIMITED (XNSE:IDFCFIRSTB)</v>
    <v>2</v>
    <v>6</v>
    <v>Finance</v>
    <v>4</v>
    <v>87</v>
    <v>52.46</v>
    <v>1.2095</v>
    <v>0.34</v>
    <v>3.993E-3</v>
    <v>INR</v>
    <v>IDFC FIRST Bank Limited (the Bank) is a universal bank. The Bank offers end-to-end corporate banking, trade finance, such as issuance of LCs &amp; BGs, SBLC, packing credit, pre-shipment and post-shipment finance, including risk hedging solutions like forwards, swaps, options, and other forex solutions, SME banking, wealth management, cash management, nostro and vostro account operations, Escrow facilities, correspondent banking, fastag, toll-acquiring, dealer finance and purchase/sales invoice discounting. Its treasury segment primarily consists of the Bank’s investment portfolio, money market borrowing and lending, investment operations and the foreign exchange and derivatives portfolio of the Bank. Its corporate/wholesale banking segment provides loans, non-fund facilities, treasury products, and transaction services. Its retail banking segment lends to individual / business banking customers. Its other banking business segment includes the distribution of third-party products.</v>
    <v>42190</v>
    <v>National Stock Exchange of India</v>
    <v>XNSE</v>
    <v>XNSE</v>
    <v>The Square,C-61, G Block, Ground Floor To 8th Floor Bandra Kurla Complex, Bandra East, MUMBAI, MAHARASHTRA, 400051 IN</v>
    <v>85.8</v>
    <v>Banking Services</v>
    <v>Stock</v>
    <v>46058.467118055552</v>
    <v>40</v>
    <v>84.67</v>
    <v>713178400000</v>
    <v>IDFC FIRST BANK LIMITED</v>
    <v>IDFC FIRST BANK LIMITED</v>
    <v>85</v>
    <v>41.18</v>
    <v>85.14</v>
    <v>85.48</v>
    <v>8597745000</v>
    <v>IDFCFIRSTB</v>
    <v>IDFC FIRST BANK LIMITED (XNSE:IDFCFIRSTB)</v>
    <v>27129853</v>
    <v>31788040</v>
    <v>2014</v>
  </rv>
  <rv s="2">
    <v>41</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2">
    <spb s="0">
      <v>0</v>
      <v>Name</v>
      <v>LearnMoreOnLink</v>
    </spb>
    <spb s="1">
      <v>0</v>
      <v>0</v>
      <v>0</v>
    </spb>
    <spb s="2">
      <v>1</v>
      <v>1</v>
      <v>1</v>
      <v>1</v>
    </spb>
    <spb s="3">
      <v>1</v>
      <v>2</v>
      <v>2</v>
      <v>1</v>
      <v>3</v>
      <v>1</v>
      <v>1</v>
      <v>1</v>
      <v>4</v>
      <v>4</v>
      <v>5</v>
      <v>6</v>
      <v>1</v>
      <v>1</v>
      <v>1</v>
      <v>4</v>
      <v>7</v>
      <v>8</v>
      <v>4</v>
    </spb>
    <spb s="4">
      <v>Delayed 5 minutes</v>
      <v>from previous close</v>
      <v>from previous close</v>
      <v>GMT</v>
    </spb>
    <spb s="0">
      <v>1</v>
      <v>Name</v>
      <v>LearnMoreOnLink</v>
    </spb>
    <spb s="5">
      <v>1</v>
      <v>2</v>
      <v>2</v>
      <v>1</v>
      <v>3</v>
      <v>1</v>
      <v>1</v>
      <v>1</v>
      <v>4</v>
      <v>4</v>
      <v>5</v>
      <v>6</v>
      <v>1</v>
      <v>1</v>
      <v>1</v>
      <v>4</v>
      <v>7</v>
      <v>9</v>
      <v>8</v>
      <v>4</v>
    </spb>
    <spb s="0">
      <v>2</v>
      <v>Name</v>
      <v>LearnMoreOnLink</v>
    </spb>
    <spb s="6">
      <v>0</v>
      <v>0</v>
    </spb>
    <spb s="7">
      <v>8</v>
      <v>1</v>
      <v>1</v>
      <v>1</v>
      <v>1</v>
    </spb>
    <spb s="8">
      <v>1</v>
      <v>2</v>
      <v>2</v>
      <v>1</v>
      <v>3</v>
      <v>1</v>
      <v>10</v>
      <v>1</v>
      <v>1</v>
      <v>4</v>
      <v>4</v>
      <v>5</v>
      <v>6</v>
      <v>1</v>
      <v>1</v>
      <v>1</v>
      <v>4</v>
      <v>7</v>
      <v>9</v>
      <v>8</v>
      <v>4</v>
    </spb>
    <spb s="9">
      <v>Powered by Refinitiv</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3" formatCode="#,##0"/>
    </x:dxf>
    <x:dxf>
      <x:numFmt numFmtId="4" formatCode="#,##0.00"/>
    </x:dxf>
    <x:dxf>
      <x:numFmt numFmtId="1" formatCode="0"/>
    </x:dxf>
    <x:dxf>
      <x:numFmt numFmtId="14" formatCode="0.00%"/>
    </x:dxf>
  </dxfs>
  <richProperties>
    <rPr n="NumberFormat" t="s"/>
    <rPr n="IsTitleField" t="b"/>
    <rPr n="IsHeroField" t="b"/>
  </richProperties>
  <richStyles>
    <rSty dxfid="1">
      <rpv i="0" xml:space="preserve">_ [$₹-en-IN] * #,##0.00_ ;_ [$₹-en-IN] * -#,##0.00_ ;_ [$₹-en-IN] * "-"??_ ;_ @_ </rpv>
    </rSty>
    <rSty dxfid="4">
      <rpv i="0">#,##0.00</rpv>
    </rSty>
    <rSty>
      <rpv i="1">1</rpv>
    </rSty>
    <rSty dxfid="3">
      <rpv i="0">#,##0</rpv>
    </rSty>
    <rSty dxfid="6"/>
    <rSty dxfid="1">
      <rpv i="0" xml:space="preserve">_ [$₹-en-IN] * #,##0_ ;_ [$₹-en-IN] * -#,##0_ ;_ [$₹-en-IN] * "-"_ ;_ @_ </rpv>
    </rSty>
    <rSty dxfid="2"/>
    <rSty dxfid="0">
      <rpv i="0">0.00</rpv>
    </rSty>
    <rSty dxfid="5">
      <rpv i="0">0</rpv>
    </rSty>
    <rSty>
      <rpv i="2">1</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8F798BC-E886-4D89-B88E-94324567F824}">
  <we:reference id="wa104379220" version="8.0.0.0" store="en-US" storeType="OMEX"/>
  <we:alternateReferences>
    <we:reference id="wa104379220" version="8.0.0.0" store="WA104379220" storeType="OMEX"/>
  </we:alternateReferences>
  <we:properties>
    <we:property name="Office.AutoShowTaskpaneWithDocument" value="true"/>
    <we:property name="lastCryptoCompare" value="0"/>
    <we:property name="lastIexCall" value="0"/>
    <we:property name="lastMutualFundsCall" value="0"/>
    <we:property name="stocks" value="{}"/>
    <we:property name="stocksChange" value="{}"/>
    <we:property name="stocksOrder" value="[]"/>
    <we:property name="stocksSources" value="{}"/>
    <we:property name="updateIntervalIndex" value="2"/>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seindia.com/static/market-data/securities-available-for-trading" TargetMode="External"/><Relationship Id="rId1" Type="http://schemas.openxmlformats.org/officeDocument/2006/relationships/hyperlink" Target="https://ticker.finology.in/?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24EC-59F3-41FA-9E09-475807A21CA5}">
  <dimension ref="B1:AC32"/>
  <sheetViews>
    <sheetView showGridLines="0" tabSelected="1" zoomScale="85" zoomScaleNormal="85" workbookViewId="0">
      <selection activeCell="S33" sqref="S33"/>
    </sheetView>
  </sheetViews>
  <sheetFormatPr defaultRowHeight="14.4" outlineLevelCol="1" x14ac:dyDescent="0.3"/>
  <cols>
    <col min="2" max="2" width="30.33203125" customWidth="1"/>
    <col min="3" max="3" width="24.109375" customWidth="1"/>
    <col min="4" max="4" width="11.5546875" customWidth="1" outlineLevel="1"/>
    <col min="5" max="5" width="13.21875" customWidth="1" outlineLevel="1"/>
    <col min="6" max="6" width="13.109375" customWidth="1" outlineLevel="1"/>
    <col min="7" max="7" width="19" customWidth="1" outlineLevel="1"/>
    <col min="8" max="11" width="8.88671875" customWidth="1" outlineLevel="1"/>
    <col min="12" max="12" width="9.44140625" bestFit="1" customWidth="1" outlineLevel="1"/>
    <col min="13" max="13" width="9.21875" bestFit="1" customWidth="1" outlineLevel="1"/>
    <col min="14" max="14" width="12" bestFit="1" customWidth="1" outlineLevel="1"/>
    <col min="15" max="15" width="8.88671875" customWidth="1" outlineLevel="1"/>
    <col min="17" max="17" width="11.44140625" customWidth="1"/>
    <col min="18" max="18" width="11.33203125" customWidth="1"/>
    <col min="20" max="20" width="9.44140625" bestFit="1" customWidth="1"/>
    <col min="21" max="21" width="9.21875" bestFit="1" customWidth="1"/>
    <col min="22" max="22" width="12" bestFit="1" customWidth="1"/>
  </cols>
  <sheetData>
    <row r="1" spans="2:29" x14ac:dyDescent="0.3">
      <c r="J1" s="47" t="s">
        <v>40</v>
      </c>
    </row>
    <row r="2" spans="2:29" ht="21" x14ac:dyDescent="0.4">
      <c r="B2" s="1" t="s">
        <v>36</v>
      </c>
      <c r="C2" s="2"/>
      <c r="D2" s="38" t="s">
        <v>0</v>
      </c>
      <c r="E2" s="39">
        <f ca="1">TODAY()</f>
        <v>46058</v>
      </c>
      <c r="F2" s="3"/>
      <c r="G2" s="38" t="s">
        <v>37</v>
      </c>
      <c r="H2" s="42" t="s">
        <v>39</v>
      </c>
      <c r="I2" s="2"/>
      <c r="J2" s="2"/>
      <c r="K2" s="2"/>
      <c r="L2" s="2"/>
      <c r="M2" s="2"/>
      <c r="N2" s="2"/>
      <c r="O2" s="2"/>
      <c r="P2" s="2"/>
      <c r="Q2" s="2"/>
      <c r="R2" s="3"/>
      <c r="S2" s="2"/>
      <c r="T2" s="2"/>
      <c r="U2" s="3"/>
      <c r="V2" s="2"/>
      <c r="W2" s="2"/>
      <c r="X2" s="2"/>
      <c r="Y2" s="2"/>
      <c r="Z2" s="2"/>
      <c r="AA2" s="2"/>
      <c r="AB2" s="2"/>
      <c r="AC2" s="2"/>
    </row>
    <row r="4" spans="2:29" x14ac:dyDescent="0.3">
      <c r="E4" s="41" t="s">
        <v>38</v>
      </c>
      <c r="F4" s="41" t="s">
        <v>38</v>
      </c>
      <c r="G4" s="41" t="s">
        <v>38</v>
      </c>
      <c r="I4" s="41" t="s">
        <v>38</v>
      </c>
      <c r="J4" s="41" t="s">
        <v>38</v>
      </c>
      <c r="K4" s="41" t="s">
        <v>38</v>
      </c>
      <c r="L4" s="41" t="s">
        <v>38</v>
      </c>
      <c r="M4" s="41" t="s">
        <v>38</v>
      </c>
      <c r="N4" s="41" t="s">
        <v>38</v>
      </c>
      <c r="O4" s="41" t="s">
        <v>38</v>
      </c>
    </row>
    <row r="5" spans="2:29" ht="17.399999999999999" x14ac:dyDescent="0.3">
      <c r="B5" s="4"/>
      <c r="C5" s="5"/>
      <c r="D5" s="6"/>
      <c r="E5" s="6"/>
      <c r="F5" s="6"/>
      <c r="G5" s="6"/>
      <c r="H5" s="6"/>
      <c r="I5" s="6"/>
      <c r="J5" s="6"/>
      <c r="K5" s="6"/>
      <c r="L5" s="6"/>
      <c r="M5" s="6"/>
      <c r="N5" s="6"/>
      <c r="O5" s="6"/>
      <c r="P5" s="6"/>
      <c r="Q5" s="6"/>
      <c r="R5" s="6"/>
      <c r="S5" s="6"/>
      <c r="T5" s="6"/>
      <c r="U5" s="6"/>
      <c r="V5" s="6"/>
      <c r="W5" s="6"/>
      <c r="X5" s="7" t="s">
        <v>1</v>
      </c>
      <c r="Y5" s="7"/>
      <c r="Z5" s="7"/>
      <c r="AA5" s="7"/>
      <c r="AB5" s="7"/>
      <c r="AC5" s="7"/>
    </row>
    <row r="6" spans="2:29" ht="17.399999999999999" x14ac:dyDescent="0.3">
      <c r="B6" s="4"/>
      <c r="C6" s="4"/>
      <c r="D6" s="6" t="s">
        <v>2</v>
      </c>
      <c r="E6" s="6" t="s">
        <v>3</v>
      </c>
      <c r="F6" s="6" t="s">
        <v>4</v>
      </c>
      <c r="G6" s="6" t="s">
        <v>5</v>
      </c>
      <c r="H6" s="7"/>
      <c r="I6" s="7" t="s">
        <v>6</v>
      </c>
      <c r="J6" s="7"/>
      <c r="K6" s="7"/>
      <c r="L6" s="7" t="s">
        <v>7</v>
      </c>
      <c r="M6" s="7"/>
      <c r="N6" s="7" t="s">
        <v>8</v>
      </c>
      <c r="O6" s="7"/>
      <c r="P6" s="6"/>
      <c r="Q6" s="7" t="s">
        <v>9</v>
      </c>
      <c r="R6" s="7"/>
      <c r="S6" s="7" t="s">
        <v>10</v>
      </c>
      <c r="T6" s="7"/>
      <c r="U6" s="7" t="s">
        <v>11</v>
      </c>
      <c r="V6" s="7"/>
      <c r="W6" s="6"/>
      <c r="X6" s="7" t="s">
        <v>12</v>
      </c>
      <c r="Y6" s="7"/>
      <c r="Z6" s="7" t="s">
        <v>13</v>
      </c>
      <c r="AA6" s="7"/>
      <c r="AB6" s="7" t="s">
        <v>14</v>
      </c>
      <c r="AC6" s="7"/>
    </row>
    <row r="7" spans="2:29" ht="15.6" x14ac:dyDescent="0.3">
      <c r="B7" s="8" t="s">
        <v>15</v>
      </c>
      <c r="C7" s="8" t="s">
        <v>16</v>
      </c>
      <c r="D7" s="9" t="s">
        <v>17</v>
      </c>
      <c r="E7" s="9" t="s">
        <v>18</v>
      </c>
      <c r="F7" s="9" t="s">
        <v>19</v>
      </c>
      <c r="G7" s="9" t="s">
        <v>20</v>
      </c>
      <c r="H7" s="10"/>
      <c r="I7" s="10">
        <v>2025</v>
      </c>
      <c r="J7" s="10">
        <f>I7-1</f>
        <v>2024</v>
      </c>
      <c r="K7" s="10">
        <f>J7-1</f>
        <v>2023</v>
      </c>
      <c r="L7" s="10">
        <f>J7</f>
        <v>2024</v>
      </c>
      <c r="M7" s="10">
        <f>K7</f>
        <v>2023</v>
      </c>
      <c r="N7" s="10">
        <f>L7</f>
        <v>2024</v>
      </c>
      <c r="O7" s="10">
        <f>M7</f>
        <v>2023</v>
      </c>
      <c r="P7" s="9"/>
      <c r="Q7" s="10" t="str">
        <f>_xlfn.CONCAT(I7,"-",J7)</f>
        <v>2025-2024</v>
      </c>
      <c r="R7" s="10" t="str">
        <f>_xlfn.CONCAT(J7,"-",K7)</f>
        <v>2024-2023</v>
      </c>
      <c r="S7" s="10">
        <f>J7</f>
        <v>2024</v>
      </c>
      <c r="T7" s="10">
        <f>K7</f>
        <v>2023</v>
      </c>
      <c r="U7" s="10">
        <f>S7</f>
        <v>2024</v>
      </c>
      <c r="V7" s="10">
        <f>T7</f>
        <v>2023</v>
      </c>
      <c r="W7" s="10"/>
      <c r="X7" s="10">
        <f>J7</f>
        <v>2024</v>
      </c>
      <c r="Y7" s="10">
        <f>K7</f>
        <v>2023</v>
      </c>
      <c r="Z7" s="10">
        <f>J7</f>
        <v>2024</v>
      </c>
      <c r="AA7" s="10">
        <f>K7</f>
        <v>2023</v>
      </c>
      <c r="AB7" s="10">
        <f>J7</f>
        <v>2024</v>
      </c>
      <c r="AC7" s="10">
        <f>K7</f>
        <v>2023</v>
      </c>
    </row>
    <row r="8" spans="2:29" ht="15.6" x14ac:dyDescent="0.3">
      <c r="B8" s="11"/>
      <c r="C8" s="11"/>
      <c r="D8" s="12"/>
      <c r="E8" s="12"/>
      <c r="F8" s="12"/>
      <c r="G8" s="12"/>
      <c r="H8" s="12"/>
      <c r="I8" s="12"/>
      <c r="J8" s="12"/>
      <c r="K8" s="12"/>
      <c r="L8" s="12"/>
      <c r="M8" s="12"/>
      <c r="N8" s="12"/>
      <c r="O8" s="12"/>
      <c r="P8" s="12"/>
      <c r="Q8" s="13"/>
      <c r="R8" s="13"/>
      <c r="S8" s="13"/>
      <c r="T8" s="13"/>
      <c r="U8" s="13"/>
      <c r="V8" s="13"/>
      <c r="W8" s="13"/>
      <c r="X8" s="13"/>
      <c r="Y8" s="13"/>
      <c r="Z8" s="13"/>
      <c r="AA8" s="13"/>
      <c r="AB8" s="13"/>
      <c r="AC8" s="13"/>
    </row>
    <row r="9" spans="2:29" ht="15.6" x14ac:dyDescent="0.3">
      <c r="B9" s="17" t="e" vm="1">
        <v>#VALUE!</v>
      </c>
      <c r="C9" s="14" t="str" cm="1">
        <f t="array" aca="1" ref="C9" ca="1">_FV(B9,"Ticker symbol",TRUE)</f>
        <v>SBIN</v>
      </c>
      <c r="D9" s="58" cm="1">
        <f t="array" aca="1" ref="D9" ca="1">_FV(B9,"Price")</f>
        <v>1073.5</v>
      </c>
      <c r="E9" s="59" cm="1">
        <f t="array" aca="1" ref="E9" ca="1">_FV(B9,"Shares outstanding",TRUE)/10000000</f>
        <v>923.06169999999997</v>
      </c>
      <c r="F9" s="57">
        <v>991000</v>
      </c>
      <c r="G9" s="60" cm="1">
        <f t="array" aca="1" ref="G9" ca="1">_FV(B9,"Market cap",TRUE)/10000000</f>
        <v>949322.9</v>
      </c>
      <c r="H9" s="44" t="str">
        <f ca="1">HYPERLINK("https://www.screener.in/company/"&amp;SUBSTITUTE(C9," ","")&amp;"/consolidated/","Financials")</f>
        <v>Financials</v>
      </c>
      <c r="I9" s="57">
        <v>505420</v>
      </c>
      <c r="J9" s="57">
        <v>490938</v>
      </c>
      <c r="K9" s="57">
        <v>439189</v>
      </c>
      <c r="L9" s="65">
        <v>95089</v>
      </c>
      <c r="M9" s="65">
        <v>79095</v>
      </c>
      <c r="N9" s="57">
        <v>80523</v>
      </c>
      <c r="O9" s="57">
        <v>69543</v>
      </c>
      <c r="P9" s="15"/>
      <c r="Q9" s="15">
        <f>J9/I9-1</f>
        <v>-2.8653397174627004E-2</v>
      </c>
      <c r="R9" s="15">
        <f>K9/J9-1</f>
        <v>-0.1054084222447641</v>
      </c>
      <c r="S9" s="15">
        <f>L9/J9</f>
        <v>0.19368840871963466</v>
      </c>
      <c r="T9" s="15">
        <f>M9/K9</f>
        <v>0.18009330834788667</v>
      </c>
      <c r="U9" s="15">
        <f>N9/J9</f>
        <v>0.16401867445583759</v>
      </c>
      <c r="V9" s="15">
        <f>O9/K9</f>
        <v>0.1583441297482405</v>
      </c>
      <c r="W9" s="15"/>
      <c r="X9" s="16">
        <f>$F9/J9</f>
        <v>2.0185848314858497</v>
      </c>
      <c r="Y9" s="16">
        <f>$F9/K9</f>
        <v>2.2564317412321349</v>
      </c>
      <c r="Z9" s="16">
        <f>$F9/L9</f>
        <v>10.421815351933452</v>
      </c>
      <c r="AA9" s="16">
        <f>$F9/M9</f>
        <v>12.529236993488842</v>
      </c>
      <c r="AB9" s="16">
        <f ca="1">$G9/N9</f>
        <v>11.789462638004048</v>
      </c>
      <c r="AC9" s="16">
        <f ca="1">$G9/O9</f>
        <v>13.6508764361618</v>
      </c>
    </row>
    <row r="10" spans="2:29" ht="15.6" x14ac:dyDescent="0.3">
      <c r="B10" s="17"/>
      <c r="D10" s="61"/>
      <c r="E10" s="43"/>
      <c r="F10" s="54"/>
      <c r="G10" s="43"/>
      <c r="H10" s="45"/>
      <c r="I10" s="54"/>
      <c r="J10" s="54"/>
      <c r="K10" s="54"/>
      <c r="L10" s="54"/>
      <c r="M10" s="54"/>
      <c r="N10" s="54"/>
      <c r="O10" s="54"/>
      <c r="P10" s="20"/>
      <c r="Q10" s="20"/>
      <c r="R10" s="20"/>
      <c r="S10" s="20"/>
      <c r="T10" s="20"/>
      <c r="U10" s="20"/>
      <c r="V10" s="20"/>
      <c r="W10" s="20"/>
      <c r="X10" s="21"/>
      <c r="Y10" s="21"/>
      <c r="Z10" s="21"/>
      <c r="AA10" s="21"/>
      <c r="AB10" s="21"/>
      <c r="AC10" s="21"/>
    </row>
    <row r="11" spans="2:29" ht="15.6" x14ac:dyDescent="0.3">
      <c r="B11" s="17" t="e" vm="2">
        <v>#VALUE!</v>
      </c>
      <c r="C11" t="str" cm="1">
        <f t="array" aca="1" ref="C11" ca="1">_FV(B11,"Ticker symbol",TRUE)</f>
        <v>HDFCBANK</v>
      </c>
      <c r="D11" s="62" cm="1">
        <f t="array" aca="1" ref="D11" ca="1">_FV(B11,"Price")</f>
        <v>949.7</v>
      </c>
      <c r="E11" s="43" cm="1">
        <f t="array" aca="1" ref="E11" ca="1">_FV(B11,"Shares outstanding",TRUE)/10000000</f>
        <v>1538.8019999999999</v>
      </c>
      <c r="F11" s="56">
        <v>1460870</v>
      </c>
      <c r="G11" s="63" cm="1">
        <f t="array" aca="1" ref="G11" ca="1">_FV(B11,"Market cap",TRUE)/10000000</f>
        <v>1442067</v>
      </c>
      <c r="H11" s="46" t="str">
        <f t="shared" ref="H11:H21" ca="1" si="0">HYPERLINK("https://www.screener.in/company/"&amp;SUBSTITUTE(C11," ","")&amp;"/consolidated/","Financials")</f>
        <v>Financials</v>
      </c>
      <c r="I11" s="56">
        <v>348212</v>
      </c>
      <c r="J11" s="56">
        <v>336367</v>
      </c>
      <c r="K11" s="56">
        <v>283649</v>
      </c>
      <c r="L11" s="64">
        <v>79661</v>
      </c>
      <c r="M11" s="64">
        <v>63843</v>
      </c>
      <c r="N11" s="56">
        <v>73440</v>
      </c>
      <c r="O11" s="56">
        <v>65446</v>
      </c>
      <c r="P11" s="22"/>
      <c r="Q11" s="22">
        <f>J11/I11-1</f>
        <v>-3.4016633545081776E-2</v>
      </c>
      <c r="R11" s="22">
        <f>K11/J11-1</f>
        <v>-0.15672762191297007</v>
      </c>
      <c r="S11" s="22">
        <f t="shared" ref="S11:T12" si="1">L11/J11</f>
        <v>0.23682763172368276</v>
      </c>
      <c r="T11" s="22">
        <f t="shared" si="1"/>
        <v>0.22507747251003882</v>
      </c>
      <c r="U11" s="22">
        <f t="shared" ref="U11:V12" si="2">N11/J11</f>
        <v>0.21833295180561707</v>
      </c>
      <c r="V11" s="22">
        <f t="shared" si="2"/>
        <v>0.2307288232992184</v>
      </c>
      <c r="W11" s="22"/>
      <c r="X11" s="21">
        <f t="shared" ref="X11:AA11" si="3">$F11/J11</f>
        <v>4.3430835961910654</v>
      </c>
      <c r="Y11" s="21">
        <f t="shared" si="3"/>
        <v>5.1502737538295573</v>
      </c>
      <c r="Z11" s="21">
        <f t="shared" si="3"/>
        <v>18.338584752890373</v>
      </c>
      <c r="AA11" s="21">
        <f t="shared" si="3"/>
        <v>22.882226712403867</v>
      </c>
      <c r="AB11" s="21">
        <f ca="1">$G11/N11</f>
        <v>19.635988562091502</v>
      </c>
      <c r="AC11" s="21">
        <f ca="1">$G11/O11</f>
        <v>22.034455887296396</v>
      </c>
    </row>
    <row r="12" spans="2:29" ht="15.6" x14ac:dyDescent="0.3">
      <c r="B12" s="17" t="e" vm="3">
        <v>#VALUE!</v>
      </c>
      <c r="C12" t="str" cm="1">
        <f t="array" aca="1" ref="C12" ca="1">_FV(B12,"Ticker symbol",TRUE)</f>
        <v>ICICIBANK</v>
      </c>
      <c r="D12" s="62" cm="1">
        <f t="array" aca="1" ref="D12" ca="1">_FV(B12,"Price")</f>
        <v>1396.5</v>
      </c>
      <c r="E12" s="43" cm="1">
        <f t="array" aca="1" ref="E12" ca="1">_FV(B12,"Shares outstanding",TRUE)/10000000</f>
        <v>715.35829999999999</v>
      </c>
      <c r="F12" s="56">
        <v>998785</v>
      </c>
      <c r="G12" s="63" cm="1">
        <f t="array" aca="1" ref="G12" ca="1">_FV(B12,"Market cap",TRUE)/10000000</f>
        <v>1027296</v>
      </c>
      <c r="H12" s="46" t="str">
        <f t="shared" ca="1" si="0"/>
        <v>Financials</v>
      </c>
      <c r="I12" s="56">
        <v>194012</v>
      </c>
      <c r="J12" s="56">
        <v>186331</v>
      </c>
      <c r="K12" s="56">
        <v>159516</v>
      </c>
      <c r="L12" s="64">
        <v>62369</v>
      </c>
      <c r="M12" s="64">
        <v>47771</v>
      </c>
      <c r="N12" s="56">
        <v>54569</v>
      </c>
      <c r="O12" s="56">
        <v>46081</v>
      </c>
      <c r="P12" s="22"/>
      <c r="Q12" s="22">
        <f t="shared" ref="Q12:R13" si="4">J12/I12-1</f>
        <v>-3.9590334618477163E-2</v>
      </c>
      <c r="R12" s="22">
        <f t="shared" si="4"/>
        <v>-0.14391056775308453</v>
      </c>
      <c r="S12" s="22">
        <f t="shared" si="1"/>
        <v>0.3347215439191546</v>
      </c>
      <c r="T12" s="22">
        <f t="shared" si="1"/>
        <v>0.29947466084906843</v>
      </c>
      <c r="U12" s="22">
        <f t="shared" si="2"/>
        <v>0.29286055460444049</v>
      </c>
      <c r="V12" s="22">
        <f t="shared" si="2"/>
        <v>0.28888011233982797</v>
      </c>
      <c r="W12" s="22"/>
      <c r="X12" s="21">
        <f t="shared" ref="X12:X21" si="5">$F12/J12</f>
        <v>5.3602728477816362</v>
      </c>
      <c r="Y12" s="21">
        <f t="shared" ref="Y12:Y21" si="6">$F12/K12</f>
        <v>6.2613468241430326</v>
      </c>
      <c r="Z12" s="21">
        <f t="shared" ref="Z12:Z21" si="7">$F12/L12</f>
        <v>16.014125607272845</v>
      </c>
      <c r="AA12" s="21">
        <f t="shared" ref="AA12:AA21" si="8">$F12/M12</f>
        <v>20.907768311318584</v>
      </c>
      <c r="AB12" s="21">
        <f t="shared" ref="AB12:AB21" ca="1" si="9">$G12/N12</f>
        <v>18.825633601495355</v>
      </c>
      <c r="AC12" s="21">
        <f t="shared" ref="AC12:AC21" ca="1" si="10">$G12/O12</f>
        <v>22.293266205160478</v>
      </c>
    </row>
    <row r="13" spans="2:29" ht="15.6" x14ac:dyDescent="0.3">
      <c r="B13" s="17" t="e" vm="4">
        <v>#VALUE!</v>
      </c>
      <c r="C13" t="str" cm="1">
        <f t="array" aca="1" ref="C13" ca="1">_FV(B13,"Ticker symbol",TRUE)</f>
        <v>AXISBANK</v>
      </c>
      <c r="D13" s="62" cm="1">
        <f t="array" aca="1" ref="D13" ca="1">_FV(B13,"Price")</f>
        <v>1330.6</v>
      </c>
      <c r="E13" s="43" cm="1">
        <f t="array" aca="1" ref="E13" ca="1">_FV(B13,"Shares outstanding",TRUE)/10000000</f>
        <v>310.58969999999999</v>
      </c>
      <c r="F13" s="56">
        <v>413379</v>
      </c>
      <c r="G13" s="63" cm="1">
        <f t="array" aca="1" ref="G13" ca="1">_FV(B13,"Market cap",TRUE)/10000000</f>
        <v>391878.8</v>
      </c>
      <c r="H13" s="46" t="str">
        <f t="shared" ca="1" si="0"/>
        <v>Financials</v>
      </c>
      <c r="I13" s="56">
        <v>130820</v>
      </c>
      <c r="J13" s="56">
        <v>127374</v>
      </c>
      <c r="K13" s="56">
        <v>112759</v>
      </c>
      <c r="L13" s="64">
        <v>36563</v>
      </c>
      <c r="M13" s="64">
        <v>31767</v>
      </c>
      <c r="N13" s="56">
        <v>28191</v>
      </c>
      <c r="O13" s="56">
        <v>26492</v>
      </c>
      <c r="P13" s="22"/>
      <c r="Q13" s="22">
        <f t="shared" si="4"/>
        <v>-2.6341537991132813E-2</v>
      </c>
      <c r="R13" s="22">
        <f t="shared" si="4"/>
        <v>-0.11474084193006417</v>
      </c>
      <c r="S13" s="22">
        <f t="shared" ref="S13:S21" si="11">L13/J13</f>
        <v>0.2870523026677344</v>
      </c>
      <c r="T13" s="22">
        <f t="shared" ref="T13:T21" si="12">M13/K13</f>
        <v>0.28172474037549111</v>
      </c>
      <c r="U13" s="22">
        <f t="shared" ref="U13:U21" si="13">N13/J13</f>
        <v>0.22132460313721797</v>
      </c>
      <c r="V13" s="22">
        <f t="shared" ref="V13:V21" si="14">O13/K13</f>
        <v>0.23494355217765323</v>
      </c>
      <c r="W13" s="22"/>
      <c r="X13" s="21">
        <f t="shared" si="5"/>
        <v>3.2453954496208017</v>
      </c>
      <c r="Y13" s="21">
        <f t="shared" si="6"/>
        <v>3.6660399613334635</v>
      </c>
      <c r="Z13" s="21">
        <f t="shared" si="7"/>
        <v>11.305937696578509</v>
      </c>
      <c r="AA13" s="21">
        <f t="shared" si="8"/>
        <v>13.012843516857115</v>
      </c>
      <c r="AB13" s="21">
        <f t="shared" ca="1" si="9"/>
        <v>13.900847788301231</v>
      </c>
      <c r="AC13" s="21">
        <f t="shared" ca="1" si="10"/>
        <v>14.792344858825306</v>
      </c>
    </row>
    <row r="14" spans="2:29" ht="15.6" x14ac:dyDescent="0.3">
      <c r="B14" s="17" t="e" vm="5">
        <v>#VALUE!</v>
      </c>
      <c r="C14" t="str" cm="1">
        <f t="array" aca="1" ref="C14" ca="1">_FV(B14,"Ticker symbol",TRUE)</f>
        <v>KOTAKBANK</v>
      </c>
      <c r="D14" s="62" cm="1">
        <f t="array" aca="1" ref="D14" ca="1">_FV(B14,"Price")</f>
        <v>408.75</v>
      </c>
      <c r="E14" s="43" cm="1">
        <f t="array" aca="1" ref="E14" ca="1">_FV(B14,"Shares outstanding",TRUE)/10000000</f>
        <v>1094.646</v>
      </c>
      <c r="F14" s="56">
        <v>406704</v>
      </c>
      <c r="G14" s="63" cm="1">
        <f t="array" aca="1" ref="G14" ca="1">_FV(B14,"Market cap",TRUE)/10000000</f>
        <v>424195.2</v>
      </c>
      <c r="H14" s="46" t="str">
        <f t="shared" ca="1" si="0"/>
        <v>Financials</v>
      </c>
      <c r="I14" s="56">
        <v>68726</v>
      </c>
      <c r="J14" s="56">
        <v>65669</v>
      </c>
      <c r="K14" s="56">
        <v>56237</v>
      </c>
      <c r="L14" s="64">
        <v>22623</v>
      </c>
      <c r="M14" s="64">
        <v>15021</v>
      </c>
      <c r="N14" s="56">
        <v>22126</v>
      </c>
      <c r="O14" s="56">
        <v>14925</v>
      </c>
      <c r="P14" s="22"/>
      <c r="Q14" s="22">
        <f t="shared" ref="Q14:Q21" si="15">J14/I14-1</f>
        <v>-4.4480982452056006E-2</v>
      </c>
      <c r="R14" s="22">
        <f t="shared" ref="R14:R21" si="16">K14/J14-1</f>
        <v>-0.14362941418325237</v>
      </c>
      <c r="S14" s="22">
        <f t="shared" si="11"/>
        <v>0.34450044922261647</v>
      </c>
      <c r="T14" s="22">
        <f t="shared" si="12"/>
        <v>0.26710173017764105</v>
      </c>
      <c r="U14" s="22">
        <f t="shared" si="13"/>
        <v>0.3369321902267432</v>
      </c>
      <c r="V14" s="22">
        <f t="shared" si="14"/>
        <v>0.26539466899016662</v>
      </c>
      <c r="W14" s="22"/>
      <c r="X14" s="21">
        <f t="shared" si="5"/>
        <v>6.1932418645022764</v>
      </c>
      <c r="Y14" s="21">
        <f t="shared" si="6"/>
        <v>7.2319647207354585</v>
      </c>
      <c r="Z14" s="21">
        <f t="shared" si="7"/>
        <v>17.977456570746586</v>
      </c>
      <c r="AA14" s="21">
        <f t="shared" si="8"/>
        <v>27.075694028360296</v>
      </c>
      <c r="AB14" s="21">
        <f t="shared" ca="1" si="9"/>
        <v>19.171797884841364</v>
      </c>
      <c r="AC14" s="21">
        <f t="shared" ca="1" si="10"/>
        <v>28.42178894472362</v>
      </c>
    </row>
    <row r="15" spans="2:29" ht="15.6" x14ac:dyDescent="0.3">
      <c r="B15" s="17" t="e" vm="6">
        <v>#VALUE!</v>
      </c>
      <c r="C15" t="str" cm="1">
        <f t="array" aca="1" ref="C15" ca="1">_FV(B15,"Ticker symbol",TRUE)</f>
        <v>INDUSINDBK</v>
      </c>
      <c r="D15" s="62" cm="1">
        <f t="array" aca="1" ref="D15" ca="1">_FV(B15,"Price")</f>
        <v>914.4</v>
      </c>
      <c r="E15" s="43" cm="1">
        <f t="array" aca="1" ref="E15" ca="1">_FV(B15,"Shares outstanding",TRUE)/10000000</f>
        <v>77.907610000000005</v>
      </c>
      <c r="F15" s="56">
        <v>71266</v>
      </c>
      <c r="G15" s="63" cm="1">
        <f t="array" aca="1" ref="G15" ca="1">_FV(B15,"Market cap",TRUE)/10000000</f>
        <v>70938.759999999995</v>
      </c>
      <c r="H15" s="46" t="str">
        <f t="shared" ca="1" si="0"/>
        <v>Financials</v>
      </c>
      <c r="I15" s="56">
        <v>45879</v>
      </c>
      <c r="J15" s="56">
        <v>48668</v>
      </c>
      <c r="K15" s="56">
        <v>45748</v>
      </c>
      <c r="L15" s="64">
        <v>9421</v>
      </c>
      <c r="M15" s="64">
        <v>8113</v>
      </c>
      <c r="N15" s="56">
        <v>8977</v>
      </c>
      <c r="O15" s="56">
        <v>7444</v>
      </c>
      <c r="P15" s="22"/>
      <c r="Q15" s="22">
        <f t="shared" si="15"/>
        <v>6.079033980688342E-2</v>
      </c>
      <c r="R15" s="22">
        <f t="shared" si="16"/>
        <v>-5.9998356209418957E-2</v>
      </c>
      <c r="S15" s="22">
        <f t="shared" si="11"/>
        <v>0.19357688830443001</v>
      </c>
      <c r="T15" s="22">
        <f t="shared" si="12"/>
        <v>0.17734108594911252</v>
      </c>
      <c r="U15" s="22">
        <f t="shared" si="13"/>
        <v>0.18445385057943617</v>
      </c>
      <c r="V15" s="22">
        <f t="shared" si="14"/>
        <v>0.16271749584681297</v>
      </c>
      <c r="W15" s="22"/>
      <c r="X15" s="21">
        <f t="shared" si="5"/>
        <v>1.4643297443905647</v>
      </c>
      <c r="Y15" s="21">
        <f t="shared" si="6"/>
        <v>1.5577948762787444</v>
      </c>
      <c r="Z15" s="21">
        <f t="shared" si="7"/>
        <v>7.564589746311432</v>
      </c>
      <c r="AA15" s="21">
        <f t="shared" si="8"/>
        <v>8.7841735486256631</v>
      </c>
      <c r="AB15" s="21">
        <f t="shared" ca="1" si="9"/>
        <v>7.9022791578478326</v>
      </c>
      <c r="AC15" s="21">
        <f t="shared" ca="1" si="10"/>
        <v>9.5296560988715733</v>
      </c>
    </row>
    <row r="16" spans="2:29" ht="15.6" x14ac:dyDescent="0.3">
      <c r="B16" s="17" t="e" vm="7">
        <v>#VALUE!</v>
      </c>
      <c r="C16" t="str" cm="1">
        <f t="array" aca="1" ref="C16" ca="1">_FV(B16,"Ticker symbol",TRUE)</f>
        <v>BANKBARODA</v>
      </c>
      <c r="D16" s="62" cm="1">
        <f t="array" aca="1" ref="D16" ca="1">_FV(B16,"Price")</f>
        <v>290.45</v>
      </c>
      <c r="E16" s="43" cm="1">
        <f t="array" aca="1" ref="E16" ca="1">_FV(B16,"Shares outstanding",TRUE)/10000000</f>
        <v>517.13620000000003</v>
      </c>
      <c r="F16" s="56">
        <v>150539</v>
      </c>
      <c r="G16" s="63" cm="1">
        <f t="array" aca="1" ref="G16" ca="1">_FV(B16,"Market cap",TRUE)/10000000</f>
        <v>156097.60000000001</v>
      </c>
      <c r="H16" s="46" t="str">
        <f t="shared" ca="1" si="0"/>
        <v>Financials</v>
      </c>
      <c r="I16" s="56">
        <v>132604</v>
      </c>
      <c r="J16" s="56">
        <v>127945</v>
      </c>
      <c r="K16" s="56">
        <v>118379</v>
      </c>
      <c r="L16" s="64">
        <v>22221</v>
      </c>
      <c r="M16" s="64">
        <v>19308</v>
      </c>
      <c r="N16" s="56">
        <v>20865</v>
      </c>
      <c r="O16" s="56">
        <v>18869</v>
      </c>
      <c r="P16" s="22"/>
      <c r="Q16" s="22">
        <f t="shared" si="15"/>
        <v>-3.5134686736448373E-2</v>
      </c>
      <c r="R16" s="22">
        <f t="shared" si="16"/>
        <v>-7.4766501230997706E-2</v>
      </c>
      <c r="S16" s="22">
        <f t="shared" si="11"/>
        <v>0.17367618898745554</v>
      </c>
      <c r="T16" s="22">
        <f t="shared" si="12"/>
        <v>0.16310325311077134</v>
      </c>
      <c r="U16" s="22">
        <f t="shared" si="13"/>
        <v>0.16307788502872328</v>
      </c>
      <c r="V16" s="22">
        <f t="shared" si="14"/>
        <v>0.1593948250956673</v>
      </c>
      <c r="W16" s="22"/>
      <c r="X16" s="21">
        <f t="shared" si="5"/>
        <v>1.1765915041619446</v>
      </c>
      <c r="Y16" s="21">
        <f t="shared" si="6"/>
        <v>1.271669806300104</v>
      </c>
      <c r="Z16" s="21">
        <f t="shared" si="7"/>
        <v>6.7746276045182485</v>
      </c>
      <c r="AA16" s="21">
        <f t="shared" si="8"/>
        <v>7.796716386989849</v>
      </c>
      <c r="AB16" s="21">
        <f t="shared" ca="1" si="9"/>
        <v>7.4813132039300267</v>
      </c>
      <c r="AC16" s="21">
        <f t="shared" ca="1" si="10"/>
        <v>8.272701256028407</v>
      </c>
    </row>
    <row r="17" spans="2:29" ht="15.6" x14ac:dyDescent="0.3">
      <c r="B17" s="17" t="e" vm="8">
        <v>#VALUE!</v>
      </c>
      <c r="C17" t="str" cm="1">
        <f t="array" aca="1" ref="C17" ca="1">_FV(B17,"Ticker symbol",TRUE)</f>
        <v>PNB</v>
      </c>
      <c r="D17" s="62" cm="1">
        <f t="array" aca="1" ref="D17" ca="1">_FV(B17,"Price")</f>
        <v>124.1</v>
      </c>
      <c r="E17" s="43" cm="1">
        <f t="array" aca="1" ref="E17" ca="1">_FV(B17,"Shares outstanding",TRUE)/10000000</f>
        <v>1149.2940000000001</v>
      </c>
      <c r="F17" s="56">
        <v>142627</v>
      </c>
      <c r="G17" s="63" cm="1">
        <f t="array" aca="1" ref="G17" ca="1">_FV(B17,"Market cap",TRUE)/10000000</f>
        <v>143110.1</v>
      </c>
      <c r="H17" s="46" t="str">
        <f t="shared" ca="1" si="0"/>
        <v>Financials</v>
      </c>
      <c r="I17" s="56">
        <v>130497</v>
      </c>
      <c r="J17" s="56">
        <v>124010</v>
      </c>
      <c r="K17" s="56">
        <v>109065</v>
      </c>
      <c r="L17" s="64">
        <v>20657</v>
      </c>
      <c r="M17" s="64">
        <v>10087</v>
      </c>
      <c r="N17" s="56">
        <v>18553</v>
      </c>
      <c r="O17" s="56">
        <v>9157</v>
      </c>
      <c r="P17" s="22"/>
      <c r="Q17" s="22">
        <f t="shared" si="15"/>
        <v>-4.9709955018123031E-2</v>
      </c>
      <c r="R17" s="22">
        <f t="shared" si="16"/>
        <v>-0.120514474639142</v>
      </c>
      <c r="S17" s="22">
        <f t="shared" si="11"/>
        <v>0.16657527618740425</v>
      </c>
      <c r="T17" s="22">
        <f t="shared" si="12"/>
        <v>9.2486132123045892E-2</v>
      </c>
      <c r="U17" s="22">
        <f t="shared" si="13"/>
        <v>0.14960890250786227</v>
      </c>
      <c r="V17" s="22">
        <f t="shared" si="14"/>
        <v>8.3959106954568374E-2</v>
      </c>
      <c r="W17" s="22"/>
      <c r="X17" s="21">
        <f t="shared" si="5"/>
        <v>1.1501249899201678</v>
      </c>
      <c r="Y17" s="21">
        <f t="shared" si="6"/>
        <v>1.3077247512950994</v>
      </c>
      <c r="Z17" s="21">
        <f t="shared" si="7"/>
        <v>6.9045359926417191</v>
      </c>
      <c r="AA17" s="21">
        <f t="shared" si="8"/>
        <v>14.139684742738178</v>
      </c>
      <c r="AB17" s="21">
        <f t="shared" ca="1" si="9"/>
        <v>7.7135827089958502</v>
      </c>
      <c r="AC17" s="21">
        <f t="shared" ca="1" si="10"/>
        <v>15.628491864147648</v>
      </c>
    </row>
    <row r="18" spans="2:29" ht="15.6" x14ac:dyDescent="0.3">
      <c r="B18" s="17" t="e" vm="9">
        <v>#VALUE!</v>
      </c>
      <c r="C18" t="str" cm="1">
        <f t="array" aca="1" ref="C18" ca="1">_FV(B18,"Ticker symbol",TRUE)</f>
        <v>CANBK</v>
      </c>
      <c r="D18" s="62" cm="1">
        <f t="array" aca="1" ref="D18" ca="1">_FV(B18,"Price")</f>
        <v>148.29</v>
      </c>
      <c r="E18" s="43" cm="1">
        <f t="array" aca="1" ref="E18" ca="1">_FV(B18,"Shares outstanding",TRUE)/10000000</f>
        <v>907.06510000000003</v>
      </c>
      <c r="F18" s="56">
        <v>134509</v>
      </c>
      <c r="G18" s="63" cm="1">
        <f t="array" aca="1" ref="G18" ca="1">_FV(B18,"Market cap",TRUE)/10000000</f>
        <v>136839.9</v>
      </c>
      <c r="H18" s="46" t="str">
        <f t="shared" ca="1" si="0"/>
        <v>Financials</v>
      </c>
      <c r="I18" s="56">
        <v>126028</v>
      </c>
      <c r="J18" s="56">
        <v>121601</v>
      </c>
      <c r="K18" s="56">
        <v>110519</v>
      </c>
      <c r="L18" s="64">
        <v>20446</v>
      </c>
      <c r="M18" s="64">
        <v>16426</v>
      </c>
      <c r="N18" s="56">
        <v>17692</v>
      </c>
      <c r="O18" s="56">
        <v>15401</v>
      </c>
      <c r="P18" s="22"/>
      <c r="Q18" s="22">
        <f t="shared" si="15"/>
        <v>-3.5127114609451837E-2</v>
      </c>
      <c r="R18" s="22">
        <f t="shared" si="16"/>
        <v>-9.1134118962837518E-2</v>
      </c>
      <c r="S18" s="22">
        <f t="shared" si="11"/>
        <v>0.16814006463762635</v>
      </c>
      <c r="T18" s="22">
        <f t="shared" si="12"/>
        <v>0.14862602810376496</v>
      </c>
      <c r="U18" s="22">
        <f t="shared" si="13"/>
        <v>0.14549222457052163</v>
      </c>
      <c r="V18" s="22">
        <f t="shared" si="14"/>
        <v>0.13935160470145405</v>
      </c>
      <c r="W18" s="22"/>
      <c r="X18" s="21">
        <f t="shared" si="5"/>
        <v>1.106150442841753</v>
      </c>
      <c r="Y18" s="21">
        <f t="shared" si="6"/>
        <v>1.2170667487038427</v>
      </c>
      <c r="Z18" s="21">
        <f t="shared" si="7"/>
        <v>6.5787440086080409</v>
      </c>
      <c r="AA18" s="21">
        <f t="shared" si="8"/>
        <v>8.1887860708632658</v>
      </c>
      <c r="AB18" s="21">
        <f t="shared" ca="1" si="9"/>
        <v>7.7345636445851227</v>
      </c>
      <c r="AC18" s="21">
        <f t="shared" ca="1" si="10"/>
        <v>8.8851308356600214</v>
      </c>
    </row>
    <row r="19" spans="2:29" ht="15.6" x14ac:dyDescent="0.3">
      <c r="B19" s="17" t="e" vm="10">
        <v>#VALUE!</v>
      </c>
      <c r="C19" t="str" cm="1">
        <f t="array" aca="1" ref="C19" ca="1">_FV(B19,"Ticker symbol",TRUE)</f>
        <v>UNIONBANK</v>
      </c>
      <c r="D19" s="62" cm="1">
        <f t="array" aca="1" ref="D19" ca="1">_FV(B19,"Price")</f>
        <v>177.92</v>
      </c>
      <c r="E19" s="43" cm="1">
        <f t="array" aca="1" ref="E19" ca="1">_FV(B19,"Shares outstanding",TRUE)/10000000</f>
        <v>763.3605</v>
      </c>
      <c r="F19" s="56">
        <v>135863</v>
      </c>
      <c r="G19" s="63" cm="1">
        <f t="array" aca="1" ref="G19" ca="1">_FV(B19,"Market cap",TRUE)/10000000</f>
        <v>126862.9</v>
      </c>
      <c r="H19" s="46" t="str">
        <f t="shared" ca="1" si="0"/>
        <v>Financials</v>
      </c>
      <c r="I19" s="56">
        <v>108368</v>
      </c>
      <c r="J19" s="56">
        <v>108417</v>
      </c>
      <c r="K19" s="56">
        <v>100376</v>
      </c>
      <c r="L19" s="64">
        <v>19913</v>
      </c>
      <c r="M19" s="64">
        <v>14537</v>
      </c>
      <c r="N19" s="56">
        <v>18027</v>
      </c>
      <c r="O19" s="56">
        <v>13797</v>
      </c>
      <c r="P19" s="22"/>
      <c r="Q19" s="22">
        <f t="shared" si="15"/>
        <v>4.521630001477206E-4</v>
      </c>
      <c r="R19" s="22">
        <f t="shared" si="16"/>
        <v>-7.4167335380982635E-2</v>
      </c>
      <c r="S19" s="22">
        <f t="shared" si="11"/>
        <v>0.18367045758506506</v>
      </c>
      <c r="T19" s="22">
        <f t="shared" si="12"/>
        <v>0.14482545628437077</v>
      </c>
      <c r="U19" s="22">
        <f t="shared" si="13"/>
        <v>0.16627466172279254</v>
      </c>
      <c r="V19" s="22">
        <f t="shared" si="14"/>
        <v>0.13745317605802185</v>
      </c>
      <c r="W19" s="22"/>
      <c r="X19" s="21">
        <f t="shared" si="5"/>
        <v>1.2531521809310349</v>
      </c>
      <c r="Y19" s="21">
        <f t="shared" si="6"/>
        <v>1.3535406870168167</v>
      </c>
      <c r="Z19" s="21">
        <f t="shared" si="7"/>
        <v>6.822829307487571</v>
      </c>
      <c r="AA19" s="21">
        <f t="shared" si="8"/>
        <v>9.3460136204168673</v>
      </c>
      <c r="AB19" s="21">
        <f t="shared" ca="1" si="9"/>
        <v>7.0373828146668886</v>
      </c>
      <c r="AC19" s="21">
        <f t="shared" ca="1" si="10"/>
        <v>9.1949626730448646</v>
      </c>
    </row>
    <row r="20" spans="2:29" ht="15.6" x14ac:dyDescent="0.3">
      <c r="B20" s="17" t="e" vm="11">
        <v>#VALUE!</v>
      </c>
      <c r="C20" t="str" cm="1">
        <f t="array" aca="1" ref="C20" ca="1">_FV(B20,"Ticker symbol",TRUE)</f>
        <v>FEDERALBNK</v>
      </c>
      <c r="D20" s="62" cm="1">
        <f t="array" aca="1" ref="D20" ca="1">_FV(B20,"Price")</f>
        <v>287.60000000000002</v>
      </c>
      <c r="E20" s="43" cm="1">
        <f t="array" aca="1" ref="E20" ca="1">_FV(B20,"Shares outstanding",TRUE)/10000000</f>
        <v>246.28749999999999</v>
      </c>
      <c r="F20" s="56">
        <v>70845</v>
      </c>
      <c r="G20" s="63" cm="1">
        <f t="array" aca="1" ref="G20" ca="1">_FV(B20,"Market cap",TRUE)/10000000</f>
        <v>61385.75</v>
      </c>
      <c r="H20" s="46" t="str">
        <f t="shared" ca="1" si="0"/>
        <v>Financials</v>
      </c>
      <c r="I20" s="56">
        <v>28835</v>
      </c>
      <c r="J20" s="56">
        <v>28106</v>
      </c>
      <c r="K20" s="56">
        <v>23565</v>
      </c>
      <c r="L20" s="64">
        <v>5814</v>
      </c>
      <c r="M20" s="64">
        <v>4772</v>
      </c>
      <c r="N20" s="56">
        <v>4234</v>
      </c>
      <c r="O20" s="56">
        <v>3964</v>
      </c>
      <c r="P20" s="22"/>
      <c r="Q20" s="22">
        <f t="shared" si="15"/>
        <v>-2.528177561990641E-2</v>
      </c>
      <c r="R20" s="22">
        <f t="shared" si="16"/>
        <v>-0.16156692521169858</v>
      </c>
      <c r="S20" s="22">
        <f t="shared" si="11"/>
        <v>0.20685974525012452</v>
      </c>
      <c r="T20" s="22">
        <f t="shared" si="12"/>
        <v>0.20250371313388499</v>
      </c>
      <c r="U20" s="22">
        <f t="shared" si="13"/>
        <v>0.15064399060698783</v>
      </c>
      <c r="V20" s="22">
        <f t="shared" si="14"/>
        <v>0.16821557394440909</v>
      </c>
      <c r="W20" s="22"/>
      <c r="X20" s="21">
        <f t="shared" si="5"/>
        <v>2.5206361630968477</v>
      </c>
      <c r="Y20" s="21">
        <f t="shared" si="6"/>
        <v>3.006365372374284</v>
      </c>
      <c r="Z20" s="21">
        <f t="shared" si="7"/>
        <v>12.185242518059855</v>
      </c>
      <c r="AA20" s="21">
        <f t="shared" si="8"/>
        <v>14.845976529756916</v>
      </c>
      <c r="AB20" s="21">
        <f t="shared" ca="1" si="9"/>
        <v>14.498287671232877</v>
      </c>
      <c r="AC20" s="21">
        <f t="shared" ca="1" si="10"/>
        <v>15.485809788092835</v>
      </c>
    </row>
    <row r="21" spans="2:29" ht="15.6" x14ac:dyDescent="0.3">
      <c r="B21" s="17" t="e" vm="12">
        <v>#VALUE!</v>
      </c>
      <c r="C21" t="str" cm="1">
        <f t="array" aca="1" ref="C21" ca="1">_FV(B21,"Ticker symbol",TRUE)</f>
        <v>IDFCFIRSTB</v>
      </c>
      <c r="D21" s="62" cm="1">
        <f t="array" aca="1" ref="D21" ca="1">_FV(B21,"Price")</f>
        <v>85.48</v>
      </c>
      <c r="E21" s="43" cm="1">
        <f t="array" aca="1" ref="E21" ca="1">_FV(B21,"Shares outstanding",TRUE)/10000000</f>
        <v>859.77449999999999</v>
      </c>
      <c r="F21" s="56">
        <v>73494</v>
      </c>
      <c r="G21" s="63" cm="1">
        <f t="array" aca="1" ref="G21" ca="1">_FV(B21,"Market cap",TRUE)/10000000</f>
        <v>71317.84</v>
      </c>
      <c r="H21" s="46" t="str">
        <f t="shared" ca="1" si="0"/>
        <v>Financials</v>
      </c>
      <c r="I21" s="56">
        <v>39409</v>
      </c>
      <c r="J21" s="56">
        <v>36502</v>
      </c>
      <c r="K21" s="56">
        <v>30325</v>
      </c>
      <c r="L21" s="64">
        <v>2326</v>
      </c>
      <c r="M21" s="64">
        <v>3373</v>
      </c>
      <c r="N21" s="56">
        <v>1490</v>
      </c>
      <c r="O21" s="56">
        <v>2942</v>
      </c>
      <c r="P21" s="22"/>
      <c r="Q21" s="22">
        <f t="shared" si="15"/>
        <v>-7.3764876043543315E-2</v>
      </c>
      <c r="R21" s="22">
        <f t="shared" si="16"/>
        <v>-0.16922360418607196</v>
      </c>
      <c r="S21" s="22">
        <f t="shared" si="11"/>
        <v>6.3722535751465678E-2</v>
      </c>
      <c r="T21" s="22">
        <f t="shared" si="12"/>
        <v>0.11122835943940643</v>
      </c>
      <c r="U21" s="22">
        <f t="shared" si="13"/>
        <v>4.0819681113363648E-2</v>
      </c>
      <c r="V21" s="22">
        <f t="shared" si="14"/>
        <v>9.7015663643858205E-2</v>
      </c>
      <c r="W21" s="22"/>
      <c r="X21" s="21">
        <f t="shared" si="5"/>
        <v>2.0134239219768779</v>
      </c>
      <c r="Y21" s="21">
        <f t="shared" si="6"/>
        <v>2.4235449299258036</v>
      </c>
      <c r="Z21" s="21">
        <f t="shared" si="7"/>
        <v>31.596732588134135</v>
      </c>
      <c r="AA21" s="21">
        <f t="shared" si="8"/>
        <v>21.788911947820932</v>
      </c>
      <c r="AB21" s="21">
        <f t="shared" ca="1" si="9"/>
        <v>47.864322147651002</v>
      </c>
      <c r="AC21" s="21">
        <f t="shared" ca="1" si="10"/>
        <v>24.241278042148199</v>
      </c>
    </row>
    <row r="22" spans="2:29" x14ac:dyDescent="0.3">
      <c r="C22" s="40"/>
      <c r="D22" s="18"/>
      <c r="E22" s="19"/>
      <c r="F22" s="19"/>
      <c r="G22" s="19"/>
      <c r="I22" s="19"/>
      <c r="J22" s="19"/>
      <c r="K22" s="19"/>
      <c r="L22" s="19"/>
      <c r="M22" s="19"/>
      <c r="N22" s="19"/>
      <c r="O22" s="19"/>
      <c r="P22" s="22"/>
      <c r="Q22" s="22"/>
      <c r="R22" s="22"/>
      <c r="S22" s="22"/>
      <c r="T22" s="22"/>
      <c r="U22" s="22"/>
      <c r="V22" s="22"/>
      <c r="W22" s="22"/>
      <c r="X22" s="21"/>
      <c r="Y22" s="21"/>
      <c r="Z22" s="21"/>
      <c r="AA22" s="21"/>
      <c r="AB22" s="21"/>
      <c r="AC22" s="21"/>
    </row>
    <row r="23" spans="2:29" ht="15.6" x14ac:dyDescent="0.3">
      <c r="B23" s="23" t="s">
        <v>21</v>
      </c>
      <c r="C23" s="24"/>
      <c r="D23" s="24"/>
      <c r="E23" s="24"/>
      <c r="F23" s="24"/>
      <c r="G23" s="24"/>
      <c r="H23" s="25"/>
      <c r="I23" s="25"/>
      <c r="J23" s="25"/>
      <c r="K23" s="25"/>
      <c r="L23" s="25"/>
      <c r="M23" s="25"/>
      <c r="N23" s="25"/>
      <c r="O23" s="25"/>
      <c r="P23" s="25"/>
      <c r="Q23" s="25">
        <f t="shared" ref="Q23:V23" si="17">AVERAGE(Q11:Q18)</f>
        <v>-2.5451363145485947E-2</v>
      </c>
      <c r="R23" s="25">
        <f t="shared" si="17"/>
        <v>-0.11317773710272092</v>
      </c>
      <c r="S23" s="25">
        <f t="shared" si="17"/>
        <v>0.23813379320626304</v>
      </c>
      <c r="T23" s="25">
        <f t="shared" si="17"/>
        <v>0.20686688789986676</v>
      </c>
      <c r="U23" s="25">
        <f t="shared" si="17"/>
        <v>0.21401039530757027</v>
      </c>
      <c r="V23" s="25">
        <f t="shared" si="17"/>
        <v>0.19567127367567114</v>
      </c>
      <c r="W23" s="25"/>
      <c r="X23" s="26">
        <f t="shared" ref="X23:AC23" si="18">AVERAGE(X11:X18)</f>
        <v>3.0048988049262761</v>
      </c>
      <c r="Y23" s="26">
        <f t="shared" si="18"/>
        <v>3.4579851803274133</v>
      </c>
      <c r="Z23" s="26">
        <f t="shared" si="18"/>
        <v>11.432325247445968</v>
      </c>
      <c r="AA23" s="26">
        <f t="shared" si="18"/>
        <v>15.348486664769602</v>
      </c>
      <c r="AB23" s="26">
        <f t="shared" ca="1" si="18"/>
        <v>12.795750819011035</v>
      </c>
      <c r="AC23" s="27">
        <f t="shared" ca="1" si="18"/>
        <v>16.232229493839181</v>
      </c>
    </row>
    <row r="24" spans="2:29" ht="15.6" x14ac:dyDescent="0.3">
      <c r="B24" s="28" t="s">
        <v>22</v>
      </c>
      <c r="C24" s="29"/>
      <c r="D24" s="29"/>
      <c r="E24" s="29"/>
      <c r="F24" s="29"/>
      <c r="G24" s="29"/>
      <c r="H24" s="30"/>
      <c r="I24" s="30"/>
      <c r="J24" s="30"/>
      <c r="K24" s="30"/>
      <c r="L24" s="30"/>
      <c r="M24" s="30"/>
      <c r="N24" s="30"/>
      <c r="O24" s="30"/>
      <c r="P24" s="30"/>
      <c r="Q24" s="30">
        <f t="shared" ref="Q24:V24" si="19">MEDIAN(Q11:Q18)</f>
        <v>-3.5130900672950105E-2</v>
      </c>
      <c r="R24" s="30">
        <f t="shared" si="19"/>
        <v>-0.11762765828460309</v>
      </c>
      <c r="S24" s="30">
        <f t="shared" si="19"/>
        <v>0.2152022600140564</v>
      </c>
      <c r="T24" s="30">
        <f t="shared" si="19"/>
        <v>0.20120927922957565</v>
      </c>
      <c r="U24" s="30">
        <f t="shared" si="19"/>
        <v>0.20139340119252663</v>
      </c>
      <c r="V24" s="30">
        <f t="shared" si="19"/>
        <v>0.19672315957301567</v>
      </c>
      <c r="W24" s="30"/>
      <c r="X24" s="31">
        <f t="shared" ref="X24:AC24" si="20">MEDIAN(X11:X18)</f>
        <v>2.3548625970056833</v>
      </c>
      <c r="Y24" s="31">
        <f t="shared" si="20"/>
        <v>2.6119174188061036</v>
      </c>
      <c r="Z24" s="31">
        <f t="shared" si="20"/>
        <v>9.4352637214449704</v>
      </c>
      <c r="AA24" s="31">
        <f t="shared" si="20"/>
        <v>13.576264129797647</v>
      </c>
      <c r="AB24" s="31">
        <f t="shared" ca="1" si="20"/>
        <v>10.901563473074532</v>
      </c>
      <c r="AC24" s="32">
        <f t="shared" ca="1" si="20"/>
        <v>15.210418361486477</v>
      </c>
    </row>
    <row r="25" spans="2:29" ht="15.6" x14ac:dyDescent="0.3">
      <c r="B25" s="11"/>
      <c r="C25" s="11"/>
      <c r="D25" s="12"/>
      <c r="E25" s="12"/>
      <c r="F25" s="12"/>
      <c r="G25" s="12"/>
      <c r="I25" s="12"/>
      <c r="J25" s="12"/>
      <c r="K25" s="12"/>
      <c r="L25" s="12"/>
      <c r="M25" s="12"/>
      <c r="N25" s="12"/>
      <c r="O25" s="12"/>
      <c r="P25" s="12"/>
      <c r="Q25" s="13"/>
      <c r="R25" s="13"/>
      <c r="S25" s="13"/>
      <c r="T25" s="13"/>
      <c r="U25" s="13"/>
      <c r="V25" s="13"/>
      <c r="W25" s="13"/>
      <c r="X25" s="13"/>
      <c r="Y25" s="13"/>
      <c r="Z25" s="13"/>
      <c r="AA25" s="13"/>
      <c r="AB25" s="13"/>
      <c r="AC25" s="13"/>
    </row>
    <row r="26" spans="2:29" ht="17.399999999999999" x14ac:dyDescent="0.3">
      <c r="B26" s="4"/>
      <c r="C26" s="4"/>
      <c r="D26" s="7" t="s">
        <v>23</v>
      </c>
      <c r="E26" s="7"/>
      <c r="F26" s="7"/>
      <c r="G26" s="6"/>
      <c r="H26" s="7" t="s">
        <v>24</v>
      </c>
      <c r="I26" s="7"/>
      <c r="J26" s="7"/>
      <c r="K26" s="6"/>
      <c r="L26" s="7" t="s">
        <v>25</v>
      </c>
      <c r="M26" s="7"/>
      <c r="N26" s="7"/>
      <c r="O26" s="6"/>
      <c r="P26" s="6"/>
      <c r="Q26" s="7"/>
      <c r="R26" s="7"/>
      <c r="S26" s="7"/>
      <c r="T26" s="7" t="s">
        <v>26</v>
      </c>
      <c r="U26" s="7"/>
      <c r="V26" s="7"/>
      <c r="W26" s="6"/>
      <c r="X26" s="7" t="s">
        <v>27</v>
      </c>
      <c r="Y26" s="7"/>
      <c r="Z26" s="7"/>
      <c r="AA26" s="6"/>
      <c r="AB26" s="6"/>
      <c r="AC26" s="6"/>
    </row>
    <row r="27" spans="2:29" ht="15.6" x14ac:dyDescent="0.3">
      <c r="B27" s="8" t="s">
        <v>28</v>
      </c>
      <c r="C27" s="8"/>
      <c r="D27" s="9" t="s">
        <v>6</v>
      </c>
      <c r="E27" s="9" t="s">
        <v>7</v>
      </c>
      <c r="F27" s="9" t="s">
        <v>29</v>
      </c>
      <c r="G27" s="9"/>
      <c r="H27" s="9" t="s">
        <v>6</v>
      </c>
      <c r="I27" s="9" t="s">
        <v>7</v>
      </c>
      <c r="J27" s="9" t="s">
        <v>30</v>
      </c>
      <c r="K27" s="9"/>
      <c r="L27" s="9" t="s">
        <v>6</v>
      </c>
      <c r="M27" s="9" t="s">
        <v>7</v>
      </c>
      <c r="N27" s="9" t="s">
        <v>8</v>
      </c>
      <c r="O27" s="9"/>
      <c r="P27" s="9" t="s">
        <v>31</v>
      </c>
      <c r="Q27" s="9" t="s">
        <v>32</v>
      </c>
      <c r="R27" s="9" t="s">
        <v>33</v>
      </c>
      <c r="S27" s="9"/>
      <c r="T27" s="9" t="s">
        <v>6</v>
      </c>
      <c r="U27" s="9" t="s">
        <v>7</v>
      </c>
      <c r="V27" s="9" t="s">
        <v>8</v>
      </c>
      <c r="W27" s="9"/>
      <c r="X27" s="9" t="s">
        <v>6</v>
      </c>
      <c r="Y27" s="9" t="s">
        <v>7</v>
      </c>
      <c r="Z27" s="9" t="s">
        <v>8</v>
      </c>
      <c r="AA27" s="9"/>
      <c r="AB27" s="9"/>
      <c r="AC27" s="9"/>
    </row>
    <row r="28" spans="2:29" ht="15.6" x14ac:dyDescent="0.35">
      <c r="B28" s="11" t="s">
        <v>34</v>
      </c>
      <c r="C28" s="11"/>
      <c r="D28" s="33">
        <f>MIN(Y11:Y18)</f>
        <v>1.2170667487038427</v>
      </c>
      <c r="E28" s="33">
        <f>MIN(AA11:AA18)</f>
        <v>7.796716386989849</v>
      </c>
      <c r="F28" s="33">
        <f ca="1">MIN(AC11:AC18)</f>
        <v>8.272701256028407</v>
      </c>
      <c r="G28" s="12"/>
      <c r="H28" s="19">
        <f>K9</f>
        <v>439189</v>
      </c>
      <c r="I28" s="19">
        <f>M9</f>
        <v>79095</v>
      </c>
      <c r="J28" s="68">
        <v>81.09</v>
      </c>
      <c r="L28" s="19">
        <f>D28*H28</f>
        <v>534522.32829649199</v>
      </c>
      <c r="M28" s="19">
        <f>E28*I28</f>
        <v>616681.28262896207</v>
      </c>
      <c r="N28" s="19">
        <f ca="1">J28*F28</f>
        <v>670.83334485134355</v>
      </c>
      <c r="P28" s="67">
        <v>5342416</v>
      </c>
      <c r="Q28" s="67">
        <v>650303</v>
      </c>
      <c r="R28" s="55">
        <v>16403.315999999999</v>
      </c>
      <c r="S28" s="34"/>
      <c r="T28" s="35">
        <f>L28+P28-Q28</f>
        <v>5226635.3282964919</v>
      </c>
      <c r="U28" s="35">
        <f t="shared" ref="U28:U31" si="21">M28+Q28-R28</f>
        <v>1250580.966628962</v>
      </c>
      <c r="V28" s="35">
        <f ca="1">J28*R28*F28</f>
        <v>11003891.338933561</v>
      </c>
      <c r="W28" s="13"/>
      <c r="X28" s="66">
        <f>T28/$R28</f>
        <v>318.63285010765458</v>
      </c>
      <c r="Y28" s="66">
        <f t="shared" ref="Y28:Z31" si="22">U28/$R28</f>
        <v>76.239521730177117</v>
      </c>
      <c r="Z28" s="66">
        <f t="shared" ca="1" si="22"/>
        <v>670.83334485134355</v>
      </c>
      <c r="AB28" s="13"/>
      <c r="AC28" s="13"/>
    </row>
    <row r="29" spans="2:29" ht="15.6" x14ac:dyDescent="0.35">
      <c r="B29" s="11" t="s">
        <v>21</v>
      </c>
      <c r="C29" s="11"/>
      <c r="D29" s="33">
        <f>Y23</f>
        <v>3.4579851803274133</v>
      </c>
      <c r="E29" s="33">
        <f>AA23</f>
        <v>15.348486664769602</v>
      </c>
      <c r="F29" s="33">
        <f ca="1">AC23</f>
        <v>16.232229493839181</v>
      </c>
      <c r="G29" s="12"/>
      <c r="H29" s="36">
        <f>H28</f>
        <v>439189</v>
      </c>
      <c r="I29" s="36">
        <f t="shared" ref="I29:I31" si="23">I28</f>
        <v>79095</v>
      </c>
      <c r="J29" s="68">
        <v>81.09</v>
      </c>
      <c r="K29" s="19"/>
      <c r="L29" s="19">
        <f t="shared" ref="L29:N31" si="24">D29*H29</f>
        <v>1518709.0533628163</v>
      </c>
      <c r="M29" s="19">
        <f t="shared" si="24"/>
        <v>1213988.5527499516</v>
      </c>
      <c r="N29" s="19">
        <f t="shared" ref="N29:N31" ca="1" si="25">J29*F29</f>
        <v>1316.2714896554194</v>
      </c>
      <c r="P29" s="67">
        <v>5342416</v>
      </c>
      <c r="Q29" s="67">
        <v>650303</v>
      </c>
      <c r="R29" s="55">
        <v>16403.315999999999</v>
      </c>
      <c r="T29" s="35">
        <f t="shared" ref="T29:T31" si="26">L29+P29-Q29</f>
        <v>6210822.0533628166</v>
      </c>
      <c r="U29" s="35">
        <f t="shared" si="21"/>
        <v>1847888.2367499515</v>
      </c>
      <c r="V29" s="35">
        <f t="shared" ref="V29:V31" ca="1" si="27">J29*R29*F29</f>
        <v>21591217.186608572</v>
      </c>
      <c r="W29" s="13"/>
      <c r="X29" s="66">
        <f t="shared" ref="X29:X31" si="28">T29/$R29</f>
        <v>378.63210422592704</v>
      </c>
      <c r="Y29" s="66">
        <f t="shared" si="22"/>
        <v>112.65333404233337</v>
      </c>
      <c r="Z29" s="66">
        <f t="shared" ca="1" si="22"/>
        <v>1316.2714896554191</v>
      </c>
      <c r="AA29" s="13"/>
      <c r="AB29" s="13"/>
      <c r="AC29" s="13"/>
    </row>
    <row r="30" spans="2:29" ht="15.6" x14ac:dyDescent="0.35">
      <c r="B30" s="11" t="s">
        <v>22</v>
      </c>
      <c r="C30" s="11"/>
      <c r="D30" s="33">
        <f t="shared" ref="D30" si="29">Y24</f>
        <v>2.6119174188061036</v>
      </c>
      <c r="E30" s="33">
        <f t="shared" ref="E30" si="30">AA24</f>
        <v>13.576264129797647</v>
      </c>
      <c r="F30" s="33">
        <f t="shared" ref="F30" ca="1" si="31">AC24</f>
        <v>15.210418361486477</v>
      </c>
      <c r="G30" s="12"/>
      <c r="H30" s="36">
        <f t="shared" ref="H30:H31" si="32">H29</f>
        <v>439189</v>
      </c>
      <c r="I30" s="36">
        <f t="shared" si="23"/>
        <v>79095</v>
      </c>
      <c r="J30" s="68">
        <v>81.09</v>
      </c>
      <c r="K30" s="19"/>
      <c r="L30" s="19">
        <f t="shared" si="24"/>
        <v>1147125.3992480338</v>
      </c>
      <c r="M30" s="19">
        <f t="shared" si="24"/>
        <v>1073814.6113463449</v>
      </c>
      <c r="N30" s="19">
        <f t="shared" ca="1" si="25"/>
        <v>1233.4128249329385</v>
      </c>
      <c r="P30" s="67">
        <v>5342416</v>
      </c>
      <c r="Q30" s="67">
        <v>650303</v>
      </c>
      <c r="R30" s="55">
        <v>16403.315999999999</v>
      </c>
      <c r="T30" s="35">
        <f t="shared" si="26"/>
        <v>5839238.3992480338</v>
      </c>
      <c r="U30" s="35">
        <f t="shared" si="21"/>
        <v>1707714.2953463448</v>
      </c>
      <c r="V30" s="35">
        <f t="shared" ca="1" si="27"/>
        <v>20232060.325827666</v>
      </c>
      <c r="W30" s="13"/>
      <c r="X30" s="66">
        <f t="shared" si="28"/>
        <v>355.97914465880154</v>
      </c>
      <c r="Y30" s="66">
        <f t="shared" si="22"/>
        <v>104.10787034440749</v>
      </c>
      <c r="Z30" s="66">
        <f t="shared" ca="1" si="22"/>
        <v>1233.4128249329383</v>
      </c>
      <c r="AA30" s="13"/>
      <c r="AB30" s="13"/>
      <c r="AC30" s="13"/>
    </row>
    <row r="31" spans="2:29" ht="15.6" x14ac:dyDescent="0.35">
      <c r="B31" s="11" t="s">
        <v>35</v>
      </c>
      <c r="C31" s="11"/>
      <c r="D31" s="33">
        <f>MAX(Y11:Y18)</f>
        <v>7.2319647207354585</v>
      </c>
      <c r="E31" s="33">
        <f>MAX(AA11:AA18)</f>
        <v>27.075694028360296</v>
      </c>
      <c r="F31" s="33">
        <f ca="1">MAX(AC11:AC18)</f>
        <v>28.42178894472362</v>
      </c>
      <c r="G31" s="12"/>
      <c r="H31" s="36">
        <f t="shared" si="32"/>
        <v>439189</v>
      </c>
      <c r="I31" s="36">
        <f t="shared" si="23"/>
        <v>79095</v>
      </c>
      <c r="J31" s="68">
        <v>81.09</v>
      </c>
      <c r="K31" s="19"/>
      <c r="L31" s="19">
        <f t="shared" si="24"/>
        <v>3176199.3537350851</v>
      </c>
      <c r="M31" s="19">
        <f t="shared" si="24"/>
        <v>2141552.0191731574</v>
      </c>
      <c r="N31" s="19">
        <f t="shared" ca="1" si="25"/>
        <v>2304.7228655276385</v>
      </c>
      <c r="P31" s="67">
        <v>5342416</v>
      </c>
      <c r="Q31" s="67">
        <v>650303</v>
      </c>
      <c r="R31" s="55">
        <v>16403.315999999999</v>
      </c>
      <c r="T31" s="35">
        <f t="shared" si="26"/>
        <v>7868312.3537350856</v>
      </c>
      <c r="U31" s="35">
        <f t="shared" si="21"/>
        <v>2775451.7031731573</v>
      </c>
      <c r="V31" s="35">
        <f t="shared" ca="1" si="27"/>
        <v>37805097.455675356</v>
      </c>
      <c r="W31" s="13"/>
      <c r="X31" s="66">
        <f t="shared" si="28"/>
        <v>479.67815493739715</v>
      </c>
      <c r="Y31" s="66">
        <f t="shared" si="22"/>
        <v>169.20064840384453</v>
      </c>
      <c r="Z31" s="66">
        <f t="shared" ca="1" si="22"/>
        <v>2304.7228655276385</v>
      </c>
      <c r="AA31" s="13"/>
      <c r="AB31" s="13"/>
      <c r="AC31" s="13"/>
    </row>
    <row r="32" spans="2:29" ht="15.6" x14ac:dyDescent="0.3">
      <c r="B32" s="11"/>
      <c r="C32" s="11"/>
      <c r="D32" s="33"/>
      <c r="E32" s="33"/>
      <c r="F32" s="33"/>
      <c r="G32" s="12"/>
      <c r="H32" s="18"/>
      <c r="I32" s="19"/>
      <c r="J32" s="19"/>
      <c r="K32" s="19"/>
      <c r="L32" s="19"/>
      <c r="M32" s="19"/>
      <c r="N32" s="19"/>
      <c r="P32" s="19"/>
      <c r="Q32" s="19"/>
      <c r="R32" s="37"/>
      <c r="U32" s="13"/>
      <c r="V32" s="13"/>
      <c r="W32" s="13"/>
      <c r="X32" s="13"/>
      <c r="Y32" s="13"/>
      <c r="Z32" s="13"/>
      <c r="AA32" s="13"/>
      <c r="AB32" s="13"/>
      <c r="AC32" s="13"/>
    </row>
  </sheetData>
  <conditionalFormatting sqref="H9:H21">
    <cfRule type="colorScale" priority="150">
      <colorScale>
        <cfvo type="min"/>
        <cfvo type="percentile" val="50"/>
        <cfvo type="max"/>
        <color rgb="FFF8696B"/>
        <color rgb="FFFFEB84"/>
        <color rgb="FF63BE7B"/>
      </colorScale>
    </cfRule>
    <cfRule type="colorScale" priority="151">
      <colorScale>
        <cfvo type="min"/>
        <cfvo type="percentile" val="50"/>
        <cfvo type="max"/>
        <color rgb="FF63BE7B"/>
        <color rgb="FFFFEB84"/>
        <color rgb="FFF8696B"/>
      </colorScale>
    </cfRule>
  </conditionalFormatting>
  <conditionalFormatting sqref="P11:P16 P18:P22">
    <cfRule type="colorScale" priority="185">
      <colorScale>
        <cfvo type="min"/>
        <cfvo type="percentile" val="50"/>
        <cfvo type="max"/>
        <color rgb="FFF8696B"/>
        <color rgb="FFFFEB84"/>
        <color rgb="FF63BE7B"/>
      </colorScale>
    </cfRule>
    <cfRule type="colorScale" priority="186">
      <colorScale>
        <cfvo type="min"/>
        <cfvo type="percentile" val="50"/>
        <cfvo type="max"/>
        <color rgb="FF63BE7B"/>
        <color rgb="FFFFEB84"/>
        <color rgb="FFF8696B"/>
      </colorScale>
    </cfRule>
  </conditionalFormatting>
  <conditionalFormatting sqref="P17">
    <cfRule type="colorScale" priority="154">
      <colorScale>
        <cfvo type="min"/>
        <cfvo type="percentile" val="50"/>
        <cfvo type="max"/>
        <color rgb="FFF8696B"/>
        <color rgb="FFFFEB84"/>
        <color rgb="FF63BE7B"/>
      </colorScale>
    </cfRule>
    <cfRule type="colorScale" priority="155">
      <colorScale>
        <cfvo type="min"/>
        <cfvo type="percentile" val="50"/>
        <cfvo type="max"/>
        <color rgb="FF63BE7B"/>
        <color rgb="FFFFEB84"/>
        <color rgb="FFF8696B"/>
      </colorScale>
    </cfRule>
  </conditionalFormatting>
  <conditionalFormatting sqref="Q9:Q22">
    <cfRule type="colorScale" priority="189">
      <colorScale>
        <cfvo type="min"/>
        <cfvo type="percentile" val="50"/>
        <cfvo type="max"/>
        <color rgb="FFF8696B"/>
        <color rgb="FFFFEB84"/>
        <color rgb="FF63BE7B"/>
      </colorScale>
    </cfRule>
  </conditionalFormatting>
  <conditionalFormatting sqref="R9:R22">
    <cfRule type="colorScale" priority="190">
      <colorScale>
        <cfvo type="min"/>
        <cfvo type="percentile" val="50"/>
        <cfvo type="max"/>
        <color rgb="FFF8696B"/>
        <color rgb="FFFFEB84"/>
        <color rgb="FF63BE7B"/>
      </colorScale>
    </cfRule>
  </conditionalFormatting>
  <conditionalFormatting sqref="S9:S22">
    <cfRule type="colorScale" priority="191">
      <colorScale>
        <cfvo type="min"/>
        <cfvo type="percentile" val="50"/>
        <cfvo type="max"/>
        <color rgb="FFF8696B"/>
        <color rgb="FFFFEB84"/>
        <color rgb="FF63BE7B"/>
      </colorScale>
    </cfRule>
  </conditionalFormatting>
  <conditionalFormatting sqref="T9:T22">
    <cfRule type="colorScale" priority="192">
      <colorScale>
        <cfvo type="min"/>
        <cfvo type="percentile" val="50"/>
        <cfvo type="max"/>
        <color rgb="FFF8696B"/>
        <color rgb="FFFFEB84"/>
        <color rgb="FF63BE7B"/>
      </colorScale>
    </cfRule>
  </conditionalFormatting>
  <conditionalFormatting sqref="U9:U22">
    <cfRule type="colorScale" priority="193">
      <colorScale>
        <cfvo type="min"/>
        <cfvo type="percentile" val="50"/>
        <cfvo type="max"/>
        <color rgb="FFF8696B"/>
        <color rgb="FFFFEB84"/>
        <color rgb="FF63BE7B"/>
      </colorScale>
    </cfRule>
  </conditionalFormatting>
  <conditionalFormatting sqref="V9:V22">
    <cfRule type="colorScale" priority="194">
      <colorScale>
        <cfvo type="min"/>
        <cfvo type="percentile" val="50"/>
        <cfvo type="max"/>
        <color rgb="FFF8696B"/>
        <color rgb="FFFFEB84"/>
        <color rgb="FF63BE7B"/>
      </colorScale>
    </cfRule>
  </conditionalFormatting>
  <conditionalFormatting sqref="X9:X22">
    <cfRule type="colorScale" priority="195">
      <colorScale>
        <cfvo type="min"/>
        <cfvo type="percentile" val="50"/>
        <cfvo type="max"/>
        <color rgb="FF63BE7B"/>
        <color rgb="FFFFEB84"/>
        <color rgb="FFF8696B"/>
      </colorScale>
    </cfRule>
  </conditionalFormatting>
  <conditionalFormatting sqref="Y9:Y22">
    <cfRule type="colorScale" priority="196">
      <colorScale>
        <cfvo type="min"/>
        <cfvo type="percentile" val="50"/>
        <cfvo type="max"/>
        <color rgb="FF63BE7B"/>
        <color rgb="FFFFEB84"/>
        <color rgb="FFF8696B"/>
      </colorScale>
    </cfRule>
  </conditionalFormatting>
  <conditionalFormatting sqref="Z9:Z22">
    <cfRule type="colorScale" priority="197">
      <colorScale>
        <cfvo type="min"/>
        <cfvo type="percentile" val="50"/>
        <cfvo type="max"/>
        <color rgb="FF63BE7B"/>
        <color rgb="FFFFEB84"/>
        <color rgb="FFF8696B"/>
      </colorScale>
    </cfRule>
  </conditionalFormatting>
  <conditionalFormatting sqref="AA9:AA22">
    <cfRule type="colorScale" priority="198">
      <colorScale>
        <cfvo type="min"/>
        <cfvo type="percentile" val="50"/>
        <cfvo type="max"/>
        <color rgb="FF63BE7B"/>
        <color rgb="FFFFEB84"/>
        <color rgb="FFF8696B"/>
      </colorScale>
    </cfRule>
  </conditionalFormatting>
  <conditionalFormatting sqref="AB9:AB22">
    <cfRule type="colorScale" priority="199">
      <colorScale>
        <cfvo type="min"/>
        <cfvo type="percentile" val="50"/>
        <cfvo type="max"/>
        <color rgb="FF63BE7B"/>
        <color rgb="FFFFEB84"/>
        <color rgb="FFF8696B"/>
      </colorScale>
    </cfRule>
  </conditionalFormatting>
  <conditionalFormatting sqref="AC9:AC22">
    <cfRule type="colorScale" priority="200">
      <colorScale>
        <cfvo type="min"/>
        <cfvo type="percentile" val="50"/>
        <cfvo type="max"/>
        <color rgb="FF63BE7B"/>
        <color rgb="FFFFEB84"/>
        <color rgb="FFF8696B"/>
      </colorScale>
    </cfRule>
  </conditionalFormatting>
  <hyperlinks>
    <hyperlink ref="H2" r:id="rId1" xr:uid="{33366A10-69D2-4452-9078-0C80CF17F718}"/>
    <hyperlink ref="J1" r:id="rId2" xr:uid="{D612F67E-B89C-491F-B7E2-41E5DB9EABA1}"/>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18A1-7EC3-4815-BEE7-3E72D948C450}">
  <dimension ref="B1:J29"/>
  <sheetViews>
    <sheetView topLeftCell="A12" workbookViewId="0">
      <selection activeCell="F19" sqref="F19:G29"/>
    </sheetView>
  </sheetViews>
  <sheetFormatPr defaultRowHeight="14.4" x14ac:dyDescent="0.3"/>
  <cols>
    <col min="2" max="2" width="20.44140625" bestFit="1" customWidth="1"/>
    <col min="3" max="3" width="14.6640625" bestFit="1" customWidth="1"/>
    <col min="4" max="4" width="17.88671875" bestFit="1" customWidth="1"/>
    <col min="5" max="7" width="20.77734375" bestFit="1" customWidth="1"/>
    <col min="8" max="10" width="23.21875" bestFit="1" customWidth="1"/>
  </cols>
  <sheetData>
    <row r="1" spans="2:10" ht="15" thickBot="1" x14ac:dyDescent="0.35"/>
    <row r="2" spans="2:10" ht="15" thickBot="1" x14ac:dyDescent="0.35">
      <c r="B2" s="51" t="s">
        <v>41</v>
      </c>
      <c r="C2" s="51" t="s">
        <v>15</v>
      </c>
      <c r="D2" s="51" t="s">
        <v>42</v>
      </c>
      <c r="E2" s="51" t="s">
        <v>43</v>
      </c>
      <c r="F2" s="51" t="s">
        <v>44</v>
      </c>
      <c r="G2" s="51" t="s">
        <v>45</v>
      </c>
      <c r="H2" s="51" t="s">
        <v>46</v>
      </c>
      <c r="I2" s="51" t="s">
        <v>47</v>
      </c>
      <c r="J2" s="51" t="s">
        <v>48</v>
      </c>
    </row>
    <row r="3" spans="2:10" ht="15" thickBot="1" x14ac:dyDescent="0.35">
      <c r="B3" s="52" t="s">
        <v>49</v>
      </c>
      <c r="C3" s="52" t="s">
        <v>50</v>
      </c>
      <c r="D3" s="53">
        <v>991000</v>
      </c>
      <c r="E3" s="53">
        <v>505420</v>
      </c>
      <c r="F3" s="53">
        <v>490938</v>
      </c>
      <c r="G3" s="53">
        <v>439189</v>
      </c>
      <c r="H3" s="53">
        <v>83845</v>
      </c>
      <c r="I3" s="53">
        <v>80523</v>
      </c>
      <c r="J3" s="53">
        <v>69543</v>
      </c>
    </row>
    <row r="4" spans="2:10" ht="15" thickBot="1" x14ac:dyDescent="0.35">
      <c r="B4" s="52" t="s">
        <v>51</v>
      </c>
      <c r="C4" s="52" t="s">
        <v>52</v>
      </c>
      <c r="D4" s="53">
        <v>1460870</v>
      </c>
      <c r="E4" s="53">
        <v>348212</v>
      </c>
      <c r="F4" s="53">
        <v>336367</v>
      </c>
      <c r="G4" s="53">
        <v>283649</v>
      </c>
      <c r="H4" s="53">
        <v>77430</v>
      </c>
      <c r="I4" s="53">
        <v>73440</v>
      </c>
      <c r="J4" s="53">
        <v>65446</v>
      </c>
    </row>
    <row r="5" spans="2:10" ht="15" thickBot="1" x14ac:dyDescent="0.35">
      <c r="B5" s="52" t="s">
        <v>53</v>
      </c>
      <c r="C5" s="52" t="s">
        <v>54</v>
      </c>
      <c r="D5" s="53">
        <v>998785</v>
      </c>
      <c r="E5" s="53">
        <v>194012</v>
      </c>
      <c r="F5" s="53">
        <v>186331</v>
      </c>
      <c r="G5" s="53">
        <v>159516</v>
      </c>
      <c r="H5" s="53">
        <v>56609</v>
      </c>
      <c r="I5" s="53">
        <v>54569</v>
      </c>
      <c r="J5" s="53">
        <v>46081</v>
      </c>
    </row>
    <row r="6" spans="2:10" ht="15" thickBot="1" x14ac:dyDescent="0.35">
      <c r="B6" s="52" t="s">
        <v>55</v>
      </c>
      <c r="C6" s="52" t="s">
        <v>56</v>
      </c>
      <c r="D6" s="53">
        <v>413379</v>
      </c>
      <c r="E6" s="53">
        <v>130820</v>
      </c>
      <c r="F6" s="53">
        <v>127374</v>
      </c>
      <c r="G6" s="53">
        <v>112759</v>
      </c>
      <c r="H6" s="53">
        <v>26415</v>
      </c>
      <c r="I6" s="53">
        <v>28191</v>
      </c>
      <c r="J6" s="53">
        <v>26492</v>
      </c>
    </row>
    <row r="7" spans="2:10" ht="15" thickBot="1" x14ac:dyDescent="0.35">
      <c r="B7" s="52" t="s">
        <v>57</v>
      </c>
      <c r="C7" s="52" t="s">
        <v>58</v>
      </c>
      <c r="D7" s="53">
        <v>406704</v>
      </c>
      <c r="E7" s="53">
        <v>68726</v>
      </c>
      <c r="F7" s="53">
        <v>65669</v>
      </c>
      <c r="G7" s="53">
        <v>56237</v>
      </c>
      <c r="H7" s="53">
        <v>18798</v>
      </c>
      <c r="I7" s="53">
        <v>22126</v>
      </c>
      <c r="J7" s="53">
        <v>14925</v>
      </c>
    </row>
    <row r="8" spans="2:10" ht="15" thickBot="1" x14ac:dyDescent="0.35">
      <c r="B8" s="52" t="s">
        <v>59</v>
      </c>
      <c r="C8" s="52" t="s">
        <v>60</v>
      </c>
      <c r="D8" s="53">
        <v>71266</v>
      </c>
      <c r="E8" s="53">
        <v>45879</v>
      </c>
      <c r="F8" s="53">
        <v>48668</v>
      </c>
      <c r="G8" s="53">
        <v>45748</v>
      </c>
      <c r="H8" s="53">
        <v>-2034</v>
      </c>
      <c r="I8" s="53">
        <v>8977</v>
      </c>
      <c r="J8" s="53">
        <v>7444</v>
      </c>
    </row>
    <row r="9" spans="2:10" ht="15" thickBot="1" x14ac:dyDescent="0.35">
      <c r="B9" s="52" t="s">
        <v>61</v>
      </c>
      <c r="C9" s="52" t="s">
        <v>62</v>
      </c>
      <c r="D9" s="53">
        <v>150539</v>
      </c>
      <c r="E9" s="53">
        <v>132604</v>
      </c>
      <c r="F9" s="53">
        <v>127945</v>
      </c>
      <c r="G9" s="53">
        <v>118379</v>
      </c>
      <c r="H9" s="53">
        <v>19645</v>
      </c>
      <c r="I9" s="53">
        <v>20865</v>
      </c>
      <c r="J9" s="53">
        <v>18869</v>
      </c>
    </row>
    <row r="10" spans="2:10" ht="15" thickBot="1" x14ac:dyDescent="0.35">
      <c r="B10" s="52" t="s">
        <v>63</v>
      </c>
      <c r="C10" s="52" t="s">
        <v>64</v>
      </c>
      <c r="D10" s="53">
        <v>142627</v>
      </c>
      <c r="E10" s="53">
        <v>130497</v>
      </c>
      <c r="F10" s="53">
        <v>124010</v>
      </c>
      <c r="G10" s="53">
        <v>109065</v>
      </c>
      <c r="H10" s="53">
        <v>17875</v>
      </c>
      <c r="I10" s="53">
        <v>18553</v>
      </c>
      <c r="J10" s="53">
        <v>9157</v>
      </c>
    </row>
    <row r="11" spans="2:10" ht="15" thickBot="1" x14ac:dyDescent="0.35">
      <c r="B11" s="52" t="s">
        <v>65</v>
      </c>
      <c r="C11" s="52" t="s">
        <v>66</v>
      </c>
      <c r="D11" s="53">
        <v>134509</v>
      </c>
      <c r="E11" s="53">
        <v>126028</v>
      </c>
      <c r="F11" s="53">
        <v>121601</v>
      </c>
      <c r="G11" s="53">
        <v>110519</v>
      </c>
      <c r="H11" s="53">
        <v>18415</v>
      </c>
      <c r="I11" s="53">
        <v>17692</v>
      </c>
      <c r="J11" s="53">
        <v>15401</v>
      </c>
    </row>
    <row r="12" spans="2:10" ht="15" thickBot="1" x14ac:dyDescent="0.35">
      <c r="B12" s="52" t="s">
        <v>67</v>
      </c>
      <c r="C12" s="52" t="s">
        <v>68</v>
      </c>
      <c r="D12" s="53">
        <v>135863</v>
      </c>
      <c r="E12" s="53">
        <v>108368</v>
      </c>
      <c r="F12" s="53">
        <v>108417</v>
      </c>
      <c r="G12" s="53">
        <v>100376</v>
      </c>
      <c r="H12" s="53">
        <v>18938</v>
      </c>
      <c r="I12" s="53">
        <v>18027</v>
      </c>
      <c r="J12" s="53">
        <v>13797</v>
      </c>
    </row>
    <row r="13" spans="2:10" ht="15" thickBot="1" x14ac:dyDescent="0.35">
      <c r="B13" s="52" t="s">
        <v>69</v>
      </c>
      <c r="C13" s="52" t="s">
        <v>70</v>
      </c>
      <c r="D13" s="53">
        <v>70845</v>
      </c>
      <c r="E13" s="53">
        <v>28835</v>
      </c>
      <c r="F13" s="53">
        <v>28106</v>
      </c>
      <c r="G13" s="53">
        <v>23565</v>
      </c>
      <c r="H13" s="53">
        <v>4219</v>
      </c>
      <c r="I13" s="53">
        <v>4234</v>
      </c>
      <c r="J13" s="53">
        <v>3964</v>
      </c>
    </row>
    <row r="14" spans="2:10" ht="15" thickBot="1" x14ac:dyDescent="0.35">
      <c r="B14" s="52" t="s">
        <v>71</v>
      </c>
      <c r="C14" s="52" t="s">
        <v>72</v>
      </c>
      <c r="D14" s="53">
        <v>73494</v>
      </c>
      <c r="E14" s="53">
        <v>39409</v>
      </c>
      <c r="F14" s="53">
        <v>36502</v>
      </c>
      <c r="G14" s="53">
        <v>30325</v>
      </c>
      <c r="H14" s="53">
        <v>1576</v>
      </c>
      <c r="I14" s="53">
        <v>1490</v>
      </c>
      <c r="J14" s="53">
        <v>2942</v>
      </c>
    </row>
    <row r="16" spans="2:10" ht="15" thickBot="1" x14ac:dyDescent="0.35"/>
    <row r="17" spans="4:7" ht="15" thickBot="1" x14ac:dyDescent="0.35">
      <c r="D17" s="48" t="s">
        <v>41</v>
      </c>
      <c r="E17" s="48" t="s">
        <v>15</v>
      </c>
      <c r="F17" s="48" t="s">
        <v>73</v>
      </c>
      <c r="G17" s="48" t="s">
        <v>74</v>
      </c>
    </row>
    <row r="18" spans="4:7" ht="28.2" thickBot="1" x14ac:dyDescent="0.35">
      <c r="D18" s="49" t="s">
        <v>49</v>
      </c>
      <c r="E18" s="49" t="s">
        <v>50</v>
      </c>
      <c r="F18" s="50">
        <v>95089</v>
      </c>
      <c r="G18" s="50">
        <v>79095</v>
      </c>
    </row>
    <row r="19" spans="4:7" ht="15" thickBot="1" x14ac:dyDescent="0.35">
      <c r="D19" s="49" t="s">
        <v>51</v>
      </c>
      <c r="E19" s="49" t="s">
        <v>52</v>
      </c>
      <c r="F19" s="50">
        <v>79661</v>
      </c>
      <c r="G19" s="50">
        <v>63843</v>
      </c>
    </row>
    <row r="20" spans="4:7" ht="15" thickBot="1" x14ac:dyDescent="0.35">
      <c r="D20" s="49" t="s">
        <v>53</v>
      </c>
      <c r="E20" s="49" t="s">
        <v>54</v>
      </c>
      <c r="F20" s="50">
        <v>62369</v>
      </c>
      <c r="G20" s="50">
        <v>47771</v>
      </c>
    </row>
    <row r="21" spans="4:7" ht="15" thickBot="1" x14ac:dyDescent="0.35">
      <c r="D21" s="49" t="s">
        <v>55</v>
      </c>
      <c r="E21" s="49" t="s">
        <v>56</v>
      </c>
      <c r="F21" s="50">
        <v>36563</v>
      </c>
      <c r="G21" s="50">
        <v>31767</v>
      </c>
    </row>
    <row r="22" spans="4:7" ht="28.2" thickBot="1" x14ac:dyDescent="0.35">
      <c r="D22" s="49" t="s">
        <v>57</v>
      </c>
      <c r="E22" s="49" t="s">
        <v>58</v>
      </c>
      <c r="F22" s="50">
        <v>22623</v>
      </c>
      <c r="G22" s="50">
        <v>15021</v>
      </c>
    </row>
    <row r="23" spans="4:7" ht="15" thickBot="1" x14ac:dyDescent="0.35">
      <c r="D23" s="49" t="s">
        <v>59</v>
      </c>
      <c r="E23" s="49" t="s">
        <v>60</v>
      </c>
      <c r="F23" s="50">
        <v>9421</v>
      </c>
      <c r="G23" s="50">
        <v>8113</v>
      </c>
    </row>
    <row r="24" spans="4:7" ht="15" thickBot="1" x14ac:dyDescent="0.35">
      <c r="D24" s="49" t="s">
        <v>61</v>
      </c>
      <c r="E24" s="49" t="s">
        <v>62</v>
      </c>
      <c r="F24" s="50">
        <v>22221</v>
      </c>
      <c r="G24" s="50">
        <v>19308</v>
      </c>
    </row>
    <row r="25" spans="4:7" ht="28.2" thickBot="1" x14ac:dyDescent="0.35">
      <c r="D25" s="49" t="s">
        <v>63</v>
      </c>
      <c r="E25" s="49" t="s">
        <v>64</v>
      </c>
      <c r="F25" s="50">
        <v>20657</v>
      </c>
      <c r="G25" s="50">
        <v>10087</v>
      </c>
    </row>
    <row r="26" spans="4:7" ht="15" thickBot="1" x14ac:dyDescent="0.35">
      <c r="D26" s="49" t="s">
        <v>65</v>
      </c>
      <c r="E26" s="49" t="s">
        <v>66</v>
      </c>
      <c r="F26" s="50">
        <v>20446</v>
      </c>
      <c r="G26" s="50">
        <v>16426</v>
      </c>
    </row>
    <row r="27" spans="4:7" ht="28.2" thickBot="1" x14ac:dyDescent="0.35">
      <c r="D27" s="49" t="s">
        <v>67</v>
      </c>
      <c r="E27" s="49" t="s">
        <v>68</v>
      </c>
      <c r="F27" s="50">
        <v>19913</v>
      </c>
      <c r="G27" s="50">
        <v>14537</v>
      </c>
    </row>
    <row r="28" spans="4:7" ht="15" thickBot="1" x14ac:dyDescent="0.35">
      <c r="D28" s="49" t="s">
        <v>69</v>
      </c>
      <c r="E28" s="49" t="s">
        <v>70</v>
      </c>
      <c r="F28" s="50">
        <v>5814</v>
      </c>
      <c r="G28" s="50">
        <v>4772</v>
      </c>
    </row>
    <row r="29" spans="4:7" ht="15" thickBot="1" x14ac:dyDescent="0.35">
      <c r="D29" s="49" t="s">
        <v>71</v>
      </c>
      <c r="E29" s="49" t="s">
        <v>72</v>
      </c>
      <c r="F29" s="50">
        <v>2326</v>
      </c>
      <c r="G29" s="50">
        <v>3373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2713EE-4823-4C06-AC81-1202C421B4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Trading Comps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e14</dc:creator>
  <cp:lastModifiedBy>Shivam Raj</cp:lastModifiedBy>
  <dcterms:created xsi:type="dcterms:W3CDTF">2026-01-04T13:32:22Z</dcterms:created>
  <dcterms:modified xsi:type="dcterms:W3CDTF">2026-02-05T14:37:37Z</dcterms:modified>
</cp:coreProperties>
</file>